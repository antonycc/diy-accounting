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Payslip 05 2026-04-05 (Apr26) Excel 2007/"/>
    </mc:Choice>
  </mc:AlternateContent>
  <xr:revisionPtr revIDLastSave="0" documentId="13_ncr:1_{59527445-E49A-6849-8D60-83538EF1534E}" xr6:coauthVersionLast="47" xr6:coauthVersionMax="47" xr10:uidLastSave="{00000000-0000-0000-0000-000000000000}"/>
  <bookViews>
    <workbookView xWindow="0" yWindow="500" windowWidth="20740" windowHeight="1116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O9" i="25"/>
  <c r="T1" i="18"/>
  <c r="R1" i="18"/>
  <c r="Q1" i="18"/>
  <c r="P1" i="18"/>
  <c r="O1" i="18"/>
  <c r="N1" i="18"/>
  <c r="M1" i="18"/>
  <c r="AC13" i="18"/>
  <c r="AC14" i="18"/>
  <c r="AC15" i="18"/>
  <c r="AC12" i="18"/>
  <c r="AC11" i="18"/>
  <c r="Z13" i="18"/>
  <c r="Z14" i="18"/>
  <c r="Z15" i="18"/>
  <c r="Z12" i="18"/>
  <c r="Z11" i="18"/>
  <c r="Y13" i="18"/>
  <c r="Y14" i="18"/>
  <c r="Y15" i="18"/>
  <c r="Y12" i="18"/>
  <c r="Y11" i="18"/>
  <c r="X13" i="18"/>
  <c r="X14" i="18"/>
  <c r="X15" i="18"/>
  <c r="X12" i="18"/>
  <c r="X11" i="18"/>
  <c r="W15" i="18"/>
  <c r="W14" i="18"/>
  <c r="W13" i="18"/>
  <c r="W12" i="18"/>
  <c r="W11" i="18"/>
  <c r="L13" i="18"/>
  <c r="L14" i="18"/>
  <c r="L15" i="18"/>
  <c r="L12" i="18"/>
  <c r="L11" i="18"/>
  <c r="K15" i="18"/>
  <c r="J13" i="18"/>
  <c r="J14" i="18"/>
  <c r="K14" i="18" s="1"/>
  <c r="J15" i="18"/>
  <c r="J12" i="18"/>
  <c r="J11" i="18"/>
  <c r="I13" i="18"/>
  <c r="K13" i="18" s="1"/>
  <c r="I14" i="18"/>
  <c r="I15" i="18"/>
  <c r="I12" i="18"/>
  <c r="K12" i="18" s="1"/>
  <c r="I11" i="18"/>
  <c r="K11" i="18" s="1"/>
  <c r="H13" i="18"/>
  <c r="H14" i="18"/>
  <c r="H15" i="18"/>
  <c r="H12" i="18"/>
  <c r="H11" i="18"/>
  <c r="K9" i="18"/>
  <c r="T1" i="19"/>
  <c r="R1" i="19"/>
  <c r="Q1" i="19"/>
  <c r="P1" i="19"/>
  <c r="O1" i="19"/>
  <c r="N1" i="19"/>
  <c r="M1" i="19"/>
  <c r="W55" i="19"/>
  <c r="W54" i="19"/>
  <c r="W53" i="19"/>
  <c r="W52" i="19"/>
  <c r="W51" i="19"/>
  <c r="V55" i="19"/>
  <c r="V54" i="19"/>
  <c r="V53" i="19"/>
  <c r="V52" i="19"/>
  <c r="V51" i="19"/>
  <c r="M53" i="19"/>
  <c r="M54" i="19"/>
  <c r="M55" i="19"/>
  <c r="M52" i="19"/>
  <c r="M51" i="19"/>
  <c r="L53" i="19"/>
  <c r="L54" i="19"/>
  <c r="L55" i="19"/>
  <c r="L52" i="19"/>
  <c r="L51" i="19"/>
  <c r="K53" i="19"/>
  <c r="K54" i="19"/>
  <c r="K55" i="19"/>
  <c r="K52" i="19"/>
  <c r="K51" i="19"/>
  <c r="J53" i="19"/>
  <c r="J54" i="19"/>
  <c r="J55" i="19"/>
  <c r="J52" i="19"/>
  <c r="J51" i="19"/>
  <c r="I53" i="19"/>
  <c r="I54" i="19"/>
  <c r="I55" i="19"/>
  <c r="I52" i="19"/>
  <c r="I51" i="19"/>
  <c r="H53" i="19"/>
  <c r="H54" i="19"/>
  <c r="H55" i="19"/>
  <c r="H52" i="19"/>
  <c r="H51" i="19"/>
  <c r="K49" i="19"/>
  <c r="T56" i="19"/>
  <c r="Q56" i="19"/>
  <c r="P56" i="19"/>
  <c r="O56" i="19"/>
  <c r="N56" i="19"/>
  <c r="AG55" i="19"/>
  <c r="AF55" i="19"/>
  <c r="AE55" i="19"/>
  <c r="AD55" i="19"/>
  <c r="E55" i="19"/>
  <c r="F55" i="19" s="1"/>
  <c r="AG54" i="19"/>
  <c r="AF54" i="19"/>
  <c r="AE54" i="19"/>
  <c r="AD54" i="19"/>
  <c r="E54" i="19"/>
  <c r="AG53" i="19"/>
  <c r="AF53" i="19"/>
  <c r="AE53" i="19"/>
  <c r="AD53" i="19"/>
  <c r="E53" i="19"/>
  <c r="AG52" i="19"/>
  <c r="AF52" i="19"/>
  <c r="AE52" i="19"/>
  <c r="AD52" i="19"/>
  <c r="E52" i="19"/>
  <c r="AG51" i="19"/>
  <c r="AF51" i="19"/>
  <c r="AE51" i="19"/>
  <c r="AD51" i="19"/>
  <c r="E51" i="19"/>
  <c r="F51" i="19" s="1"/>
  <c r="K9" i="13"/>
  <c r="T1" i="14"/>
  <c r="R1" i="14"/>
  <c r="Q1" i="14"/>
  <c r="P1" i="14"/>
  <c r="O1" i="14"/>
  <c r="N1" i="14"/>
  <c r="M1" i="14"/>
  <c r="M13" i="13"/>
  <c r="M14" i="13"/>
  <c r="M15" i="13"/>
  <c r="M12" i="13"/>
  <c r="M11" i="13"/>
  <c r="L13" i="13"/>
  <c r="L14" i="13"/>
  <c r="L15" i="13"/>
  <c r="L12" i="13"/>
  <c r="L11" i="13"/>
  <c r="K15" i="13"/>
  <c r="J13" i="13"/>
  <c r="J14" i="13"/>
  <c r="K14" i="13" s="1"/>
  <c r="J15" i="13"/>
  <c r="J12" i="13"/>
  <c r="J11" i="13"/>
  <c r="I13" i="13"/>
  <c r="K13" i="13" s="1"/>
  <c r="I14" i="13"/>
  <c r="I15" i="13"/>
  <c r="I12" i="13"/>
  <c r="K12" i="13" s="1"/>
  <c r="I11" i="13"/>
  <c r="K11" i="13" s="1"/>
  <c r="H13" i="13"/>
  <c r="H14" i="13"/>
  <c r="H15" i="13"/>
  <c r="H12" i="13"/>
  <c r="H11" i="13"/>
  <c r="AC13" i="14"/>
  <c r="AC14" i="14"/>
  <c r="AC15" i="14"/>
  <c r="AC12" i="14"/>
  <c r="AC11" i="14"/>
  <c r="Z11" i="14"/>
  <c r="Z13" i="14"/>
  <c r="Z14" i="14"/>
  <c r="Z15" i="14"/>
  <c r="Z12" i="14"/>
  <c r="Y13" i="14"/>
  <c r="Y14" i="14"/>
  <c r="Y15" i="14"/>
  <c r="Y12" i="14"/>
  <c r="Y11" i="14"/>
  <c r="X13" i="14"/>
  <c r="X14" i="14"/>
  <c r="X15" i="14"/>
  <c r="X12" i="14"/>
  <c r="X11" i="14"/>
  <c r="W15" i="14"/>
  <c r="W14" i="14"/>
  <c r="W13" i="14"/>
  <c r="W12" i="14"/>
  <c r="W11" i="14"/>
  <c r="L13" i="14"/>
  <c r="L14" i="14"/>
  <c r="L15" i="14"/>
  <c r="L12" i="14"/>
  <c r="L11" i="14"/>
  <c r="K14" i="14"/>
  <c r="J13" i="14"/>
  <c r="K13" i="14" s="1"/>
  <c r="J14" i="14"/>
  <c r="J15" i="14"/>
  <c r="J12" i="14"/>
  <c r="J11" i="14"/>
  <c r="K11" i="14" s="1"/>
  <c r="I13" i="14"/>
  <c r="I14" i="14"/>
  <c r="I15" i="14"/>
  <c r="K15" i="14" s="1"/>
  <c r="I12" i="14"/>
  <c r="K12" i="14" s="1"/>
  <c r="I11" i="14"/>
  <c r="H13" i="14"/>
  <c r="H14" i="14"/>
  <c r="H15" i="14"/>
  <c r="H12" i="14"/>
  <c r="H11" i="14"/>
  <c r="K9" i="14"/>
  <c r="T1" i="15"/>
  <c r="R1" i="15"/>
  <c r="Q1" i="15"/>
  <c r="P1" i="15"/>
  <c r="O1" i="15"/>
  <c r="N1" i="15"/>
  <c r="M1" i="15"/>
  <c r="M53" i="15"/>
  <c r="M52" i="15"/>
  <c r="M51" i="15"/>
  <c r="L53" i="15"/>
  <c r="L54" i="15"/>
  <c r="L55" i="15"/>
  <c r="L52" i="15"/>
  <c r="L51" i="15"/>
  <c r="K55" i="15"/>
  <c r="J53" i="15"/>
  <c r="J54" i="15"/>
  <c r="K54" i="15" s="1"/>
  <c r="J55" i="15"/>
  <c r="J52" i="15"/>
  <c r="J51" i="15"/>
  <c r="I53" i="15"/>
  <c r="K53" i="15" s="1"/>
  <c r="I54" i="15"/>
  <c r="I55" i="15"/>
  <c r="I52" i="15"/>
  <c r="K52" i="15" s="1"/>
  <c r="I51" i="15"/>
  <c r="K51" i="15" s="1"/>
  <c r="H53" i="15"/>
  <c r="H54" i="15"/>
  <c r="H55" i="15"/>
  <c r="H52" i="15"/>
  <c r="H51" i="15"/>
  <c r="T56" i="15"/>
  <c r="Q56" i="15"/>
  <c r="P56" i="15"/>
  <c r="O56" i="15"/>
  <c r="N56" i="15"/>
  <c r="AG55" i="15"/>
  <c r="AF55" i="15"/>
  <c r="AE55" i="15"/>
  <c r="AD55" i="15"/>
  <c r="E55" i="15"/>
  <c r="F55" i="15" s="1"/>
  <c r="B55" i="15"/>
  <c r="AG54" i="15"/>
  <c r="AF54" i="15"/>
  <c r="AE54" i="15"/>
  <c r="AD54" i="15"/>
  <c r="E54" i="15"/>
  <c r="M54" i="15" s="1"/>
  <c r="AG53" i="15"/>
  <c r="AF53" i="15"/>
  <c r="AE53" i="15"/>
  <c r="AD53" i="15"/>
  <c r="E53" i="15"/>
  <c r="F53" i="15" s="1"/>
  <c r="B53" i="15"/>
  <c r="AG52" i="15"/>
  <c r="AF52" i="15"/>
  <c r="AE52" i="15"/>
  <c r="AD52" i="15"/>
  <c r="E52" i="15"/>
  <c r="F52" i="15" s="1"/>
  <c r="AG51" i="15"/>
  <c r="AF51" i="15"/>
  <c r="AE51" i="15"/>
  <c r="AD51" i="15"/>
  <c r="E51" i="15"/>
  <c r="F51" i="15" s="1"/>
  <c r="B51" i="15"/>
  <c r="K9" i="15"/>
  <c r="M9" i="16"/>
  <c r="K9" i="16"/>
  <c r="T1" i="17"/>
  <c r="R1" i="17"/>
  <c r="Q1" i="17"/>
  <c r="P1" i="17"/>
  <c r="O1" i="17"/>
  <c r="N1" i="17"/>
  <c r="M1" i="17"/>
  <c r="M13" i="16"/>
  <c r="M14" i="16"/>
  <c r="M15" i="16"/>
  <c r="M12" i="16"/>
  <c r="M11" i="16"/>
  <c r="L13" i="16"/>
  <c r="L14" i="16"/>
  <c r="L15" i="16"/>
  <c r="L12" i="16"/>
  <c r="L11" i="16"/>
  <c r="J13" i="16"/>
  <c r="J14" i="16"/>
  <c r="J15" i="16"/>
  <c r="J12" i="16"/>
  <c r="J11" i="16"/>
  <c r="K11" i="16" s="1"/>
  <c r="I13" i="16"/>
  <c r="K13" i="16" s="1"/>
  <c r="I14" i="16"/>
  <c r="I15" i="16"/>
  <c r="K15" i="16" s="1"/>
  <c r="I12" i="16"/>
  <c r="I11" i="16"/>
  <c r="H13" i="16"/>
  <c r="H14" i="16"/>
  <c r="H15" i="16"/>
  <c r="H12" i="16"/>
  <c r="H11" i="16"/>
  <c r="AC15" i="17"/>
  <c r="AC14" i="17"/>
  <c r="AC13" i="17"/>
  <c r="AC12" i="17"/>
  <c r="AC11" i="17"/>
  <c r="Z15" i="17"/>
  <c r="Z14" i="17"/>
  <c r="Z13" i="17"/>
  <c r="Z12" i="17"/>
  <c r="Z11" i="17"/>
  <c r="Y15" i="17"/>
  <c r="Y14" i="17"/>
  <c r="Y13" i="17"/>
  <c r="Y12" i="17"/>
  <c r="Y11" i="17"/>
  <c r="X15" i="17"/>
  <c r="X14" i="17"/>
  <c r="X13" i="17"/>
  <c r="X12" i="17"/>
  <c r="X11" i="17"/>
  <c r="W15" i="17"/>
  <c r="W14" i="17"/>
  <c r="W13" i="17"/>
  <c r="W12" i="17"/>
  <c r="W11" i="17"/>
  <c r="L13" i="17"/>
  <c r="L14" i="17"/>
  <c r="L15" i="17"/>
  <c r="L12" i="17"/>
  <c r="L11" i="17"/>
  <c r="J13" i="17"/>
  <c r="J14" i="17"/>
  <c r="J15" i="17"/>
  <c r="K15" i="17" s="1"/>
  <c r="J12" i="17"/>
  <c r="K12" i="17" s="1"/>
  <c r="J11" i="17"/>
  <c r="I13" i="17"/>
  <c r="K13" i="17" s="1"/>
  <c r="I14" i="17"/>
  <c r="K14" i="17" s="1"/>
  <c r="I15" i="17"/>
  <c r="I12" i="17"/>
  <c r="I11" i="17"/>
  <c r="K11" i="17" s="1"/>
  <c r="H13" i="17"/>
  <c r="H14" i="17"/>
  <c r="H15" i="17"/>
  <c r="H12" i="17"/>
  <c r="H11" i="17"/>
  <c r="K9" i="17"/>
  <c r="W55" i="8"/>
  <c r="W54" i="8"/>
  <c r="W53" i="8"/>
  <c r="W51" i="8"/>
  <c r="V55" i="8"/>
  <c r="V54" i="8"/>
  <c r="V53" i="8"/>
  <c r="V52" i="8"/>
  <c r="V51" i="8"/>
  <c r="V41" i="8"/>
  <c r="T1" i="8"/>
  <c r="R1" i="8"/>
  <c r="R2" i="8"/>
  <c r="Q1" i="8"/>
  <c r="P1" i="8"/>
  <c r="O1" i="8"/>
  <c r="N1" i="8"/>
  <c r="M1" i="8"/>
  <c r="M53" i="8"/>
  <c r="M54" i="8"/>
  <c r="M55" i="8"/>
  <c r="M52" i="8"/>
  <c r="M51" i="8"/>
  <c r="L53" i="8"/>
  <c r="L54" i="8"/>
  <c r="L55" i="8"/>
  <c r="L52" i="8"/>
  <c r="L51" i="8"/>
  <c r="K53" i="8"/>
  <c r="K54" i="8"/>
  <c r="K55" i="8"/>
  <c r="K52" i="8"/>
  <c r="K51" i="8"/>
  <c r="J53" i="8"/>
  <c r="J54" i="8"/>
  <c r="J55" i="8"/>
  <c r="J51" i="8"/>
  <c r="J52" i="8"/>
  <c r="I53" i="8"/>
  <c r="I54" i="8"/>
  <c r="I55" i="8"/>
  <c r="I52" i="8"/>
  <c r="I51" i="8"/>
  <c r="H53" i="8"/>
  <c r="H54" i="8"/>
  <c r="H55" i="8"/>
  <c r="H52" i="8"/>
  <c r="H51" i="8"/>
  <c r="T56" i="8"/>
  <c r="Q56" i="8"/>
  <c r="P56" i="8"/>
  <c r="O56" i="8"/>
  <c r="N56" i="8"/>
  <c r="AG55" i="8"/>
  <c r="AF55" i="8"/>
  <c r="AE55" i="8"/>
  <c r="AD55" i="8"/>
  <c r="AC55" i="8"/>
  <c r="Z55" i="8"/>
  <c r="Y55" i="8"/>
  <c r="X55" i="8"/>
  <c r="E55" i="8"/>
  <c r="F55" i="8" s="1"/>
  <c r="B55" i="8"/>
  <c r="AG54" i="8"/>
  <c r="AF54" i="8"/>
  <c r="AE54" i="8"/>
  <c r="AD54" i="8"/>
  <c r="AC54" i="8"/>
  <c r="Z54" i="8"/>
  <c r="Y54" i="8"/>
  <c r="X54" i="8"/>
  <c r="E54" i="8"/>
  <c r="AG53" i="8"/>
  <c r="AF53" i="8"/>
  <c r="AE53" i="8"/>
  <c r="AD53" i="8"/>
  <c r="AC53" i="8"/>
  <c r="Z53" i="8"/>
  <c r="Y53" i="8"/>
  <c r="X53" i="8"/>
  <c r="F53" i="8"/>
  <c r="E53" i="8"/>
  <c r="AG52" i="8"/>
  <c r="AF52" i="8"/>
  <c r="AE52" i="8"/>
  <c r="AD52" i="8"/>
  <c r="AC52" i="8"/>
  <c r="Z52" i="8"/>
  <c r="Y52" i="8"/>
  <c r="X52" i="8"/>
  <c r="W52" i="8"/>
  <c r="F52" i="8"/>
  <c r="E52" i="8"/>
  <c r="B52" i="8"/>
  <c r="AG51" i="8"/>
  <c r="AF51" i="8"/>
  <c r="AE51" i="8"/>
  <c r="AD51" i="8"/>
  <c r="AC51" i="8"/>
  <c r="Z51" i="8"/>
  <c r="Y51" i="8"/>
  <c r="X51" i="8"/>
  <c r="E51" i="8"/>
  <c r="F51" i="8" s="1"/>
  <c r="B51" i="8"/>
  <c r="M49" i="8"/>
  <c r="K49" i="8"/>
  <c r="K9" i="8"/>
  <c r="K9" i="9"/>
  <c r="A181" i="24"/>
  <c r="A182" i="24"/>
  <c r="N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B55" i="19" l="1"/>
  <c r="B51" i="19"/>
  <c r="F53" i="19"/>
  <c r="F52" i="19"/>
  <c r="R55" i="19"/>
  <c r="R53" i="19"/>
  <c r="R52" i="19"/>
  <c r="R54" i="19"/>
  <c r="B52" i="19"/>
  <c r="F54" i="19"/>
  <c r="B53" i="19"/>
  <c r="B54" i="19"/>
  <c r="R53" i="15"/>
  <c r="M55" i="15"/>
  <c r="R54" i="15"/>
  <c r="R51" i="15"/>
  <c r="B52" i="15"/>
  <c r="M56" i="15"/>
  <c r="F54" i="15"/>
  <c r="R55" i="15"/>
  <c r="B54" i="15"/>
  <c r="K12" i="16"/>
  <c r="K14" i="16"/>
  <c r="R53" i="8"/>
  <c r="AA53" i="8" s="1"/>
  <c r="R54" i="8"/>
  <c r="AA54" i="8" s="1"/>
  <c r="F54" i="8"/>
  <c r="R55" i="8"/>
  <c r="AA55" i="8" s="1"/>
  <c r="M56" i="8"/>
  <c r="R51" i="8"/>
  <c r="R52" i="8"/>
  <c r="AA52" i="8" s="1"/>
  <c r="B53" i="8"/>
  <c r="B54" i="8"/>
  <c r="L13" i="15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M56" i="19" l="1"/>
  <c r="R51" i="19"/>
  <c r="R56" i="19" s="1"/>
  <c r="R52" i="15"/>
  <c r="AA51" i="8"/>
  <c r="R56" i="8"/>
  <c r="K15" i="9"/>
  <c r="K22" i="16"/>
  <c r="K12" i="15"/>
  <c r="K22" i="9"/>
  <c r="K11" i="9"/>
  <c r="K13" i="9"/>
  <c r="K21" i="9"/>
  <c r="K25" i="16"/>
  <c r="K15" i="15"/>
  <c r="K12" i="9"/>
  <c r="K24" i="16"/>
  <c r="K25" i="9"/>
  <c r="K11" i="15"/>
  <c r="K13" i="15"/>
  <c r="K23" i="9"/>
  <c r="K21" i="16"/>
  <c r="K23" i="16"/>
  <c r="K14" i="15"/>
  <c r="H4" i="40"/>
  <c r="R56" i="15" l="1"/>
  <c r="T16" i="16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W59" i="25" s="1"/>
  <c r="H3" i="40"/>
  <c r="M3" i="40" s="1"/>
  <c r="I4" i="40" s="1"/>
  <c r="F50" i="25"/>
  <c r="F52" i="25"/>
  <c r="F24" i="25"/>
  <c r="F26" i="25"/>
  <c r="Q27" i="25"/>
  <c r="S27" i="25" s="1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21" i="13"/>
  <c r="I21" i="13"/>
  <c r="J21" i="13"/>
  <c r="L21" i="13"/>
  <c r="H31" i="13"/>
  <c r="I31" i="13"/>
  <c r="J31" i="13"/>
  <c r="L31" i="13"/>
  <c r="H41" i="13"/>
  <c r="I41" i="13"/>
  <c r="J41" i="13"/>
  <c r="L41" i="13"/>
  <c r="H21" i="14"/>
  <c r="I21" i="14"/>
  <c r="J21" i="14"/>
  <c r="L21" i="14"/>
  <c r="H31" i="14"/>
  <c r="I31" i="14"/>
  <c r="J31" i="14"/>
  <c r="L31" i="14"/>
  <c r="H41" i="14"/>
  <c r="I41" i="14"/>
  <c r="J41" i="14"/>
  <c r="L4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21" i="17"/>
  <c r="I21" i="17"/>
  <c r="J21" i="17"/>
  <c r="L21" i="17"/>
  <c r="H31" i="17"/>
  <c r="I31" i="17"/>
  <c r="J31" i="17"/>
  <c r="L31" i="17"/>
  <c r="H41" i="17"/>
  <c r="I41" i="17"/>
  <c r="J41" i="17"/>
  <c r="L4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61" i="19"/>
  <c r="AG62" i="19"/>
  <c r="AG63" i="19"/>
  <c r="AG64" i="19"/>
  <c r="AG6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61" i="15"/>
  <c r="AG62" i="15"/>
  <c r="AG63" i="15"/>
  <c r="AG64" i="15"/>
  <c r="AG6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62" i="8"/>
  <c r="AG63" i="8"/>
  <c r="AG64" i="8"/>
  <c r="AG65" i="8"/>
  <c r="AG66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61" i="19"/>
  <c r="AF62" i="19"/>
  <c r="AF63" i="19"/>
  <c r="AF64" i="19"/>
  <c r="AF6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61" i="15"/>
  <c r="AF62" i="15"/>
  <c r="AF63" i="15"/>
  <c r="AF64" i="15"/>
  <c r="AF6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62" i="8"/>
  <c r="AF63" i="8"/>
  <c r="AF64" i="8"/>
  <c r="AF65" i="8"/>
  <c r="AF66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61" i="19"/>
  <c r="AE62" i="19"/>
  <c r="AE63" i="19"/>
  <c r="AE64" i="19"/>
  <c r="AE6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61" i="15"/>
  <c r="AE62" i="15"/>
  <c r="AE63" i="15"/>
  <c r="AE64" i="15"/>
  <c r="AE6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62" i="8"/>
  <c r="AE63" i="8"/>
  <c r="AE64" i="8"/>
  <c r="AE65" i="8"/>
  <c r="AE66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61" i="19"/>
  <c r="AD62" i="19"/>
  <c r="AD63" i="19"/>
  <c r="AD64" i="19"/>
  <c r="AD6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61" i="15"/>
  <c r="AD62" i="15"/>
  <c r="AD63" i="15"/>
  <c r="AD64" i="15"/>
  <c r="AD6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62" i="8"/>
  <c r="AD63" i="8"/>
  <c r="AD64" i="8"/>
  <c r="AD65" i="8"/>
  <c r="AD66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66" i="19"/>
  <c r="P16" i="19"/>
  <c r="P26" i="19"/>
  <c r="P36" i="19"/>
  <c r="P46" i="19"/>
  <c r="P6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66" i="15"/>
  <c r="P16" i="15"/>
  <c r="P26" i="15"/>
  <c r="P36" i="15"/>
  <c r="P46" i="15"/>
  <c r="P6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67" i="8"/>
  <c r="P16" i="8"/>
  <c r="P26" i="8"/>
  <c r="P36" i="8"/>
  <c r="P46" i="8"/>
  <c r="P67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4" i="19"/>
  <c r="L13" i="19"/>
  <c r="L12" i="19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Q16" i="18"/>
  <c r="Q26" i="18"/>
  <c r="Q36" i="18"/>
  <c r="Q46" i="18"/>
  <c r="Q56" i="18"/>
  <c r="Q66" i="18"/>
  <c r="Q16" i="14"/>
  <c r="Q26" i="14"/>
  <c r="Q36" i="14"/>
  <c r="Q46" i="14"/>
  <c r="Q56" i="14"/>
  <c r="P16" i="14"/>
  <c r="P26" i="14"/>
  <c r="P36" i="14"/>
  <c r="P46" i="14"/>
  <c r="P56" i="14"/>
  <c r="Q16" i="17"/>
  <c r="Q26" i="17"/>
  <c r="Q36" i="17"/>
  <c r="Q46" i="17"/>
  <c r="Q56" i="17"/>
  <c r="P16" i="17"/>
  <c r="P26" i="17"/>
  <c r="P36" i="17"/>
  <c r="P46" i="17"/>
  <c r="P5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61" i="18"/>
  <c r="I61" i="18"/>
  <c r="J61" i="18"/>
  <c r="L61" i="18"/>
  <c r="H62" i="18"/>
  <c r="I62" i="18"/>
  <c r="J62" i="18"/>
  <c r="L62" i="18"/>
  <c r="H63" i="18"/>
  <c r="I63" i="18"/>
  <c r="J63" i="18"/>
  <c r="L63" i="18"/>
  <c r="H64" i="18"/>
  <c r="I64" i="18"/>
  <c r="J64" i="18"/>
  <c r="L64" i="18"/>
  <c r="H65" i="18"/>
  <c r="I65" i="18"/>
  <c r="J65" i="18"/>
  <c r="L65" i="18"/>
  <c r="H61" i="19"/>
  <c r="I61" i="19"/>
  <c r="J61" i="19"/>
  <c r="L61" i="19"/>
  <c r="H62" i="19"/>
  <c r="I62" i="19"/>
  <c r="J62" i="19"/>
  <c r="L62" i="19"/>
  <c r="H63" i="19"/>
  <c r="I63" i="19"/>
  <c r="J63" i="19"/>
  <c r="L63" i="19"/>
  <c r="H64" i="19"/>
  <c r="I64" i="19"/>
  <c r="J64" i="19"/>
  <c r="L64" i="19"/>
  <c r="H65" i="19"/>
  <c r="I65" i="19"/>
  <c r="J65" i="19"/>
  <c r="L6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51" i="14"/>
  <c r="I51" i="14"/>
  <c r="J51" i="14"/>
  <c r="L51" i="14"/>
  <c r="H52" i="14"/>
  <c r="I52" i="14"/>
  <c r="J52" i="14"/>
  <c r="L52" i="14"/>
  <c r="H53" i="14"/>
  <c r="I53" i="14"/>
  <c r="J53" i="14"/>
  <c r="L53" i="14"/>
  <c r="H54" i="14"/>
  <c r="I54" i="14"/>
  <c r="J54" i="14"/>
  <c r="L54" i="14"/>
  <c r="H55" i="14"/>
  <c r="I55" i="14"/>
  <c r="J55" i="14"/>
  <c r="L55" i="14"/>
  <c r="H61" i="15"/>
  <c r="I61" i="15"/>
  <c r="J61" i="15"/>
  <c r="L61" i="15"/>
  <c r="H62" i="15"/>
  <c r="I62" i="15"/>
  <c r="J62" i="15"/>
  <c r="L62" i="15"/>
  <c r="H63" i="15"/>
  <c r="I63" i="15"/>
  <c r="J63" i="15"/>
  <c r="L63" i="15"/>
  <c r="H64" i="15"/>
  <c r="I64" i="15"/>
  <c r="J64" i="15"/>
  <c r="L64" i="15"/>
  <c r="H65" i="15"/>
  <c r="I65" i="15"/>
  <c r="J65" i="15"/>
  <c r="L6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51" i="17"/>
  <c r="I51" i="17"/>
  <c r="J51" i="17"/>
  <c r="L51" i="17"/>
  <c r="H52" i="17"/>
  <c r="I52" i="17"/>
  <c r="J52" i="17"/>
  <c r="L52" i="17"/>
  <c r="H53" i="17"/>
  <c r="I53" i="17"/>
  <c r="J53" i="17"/>
  <c r="L53" i="17"/>
  <c r="H54" i="17"/>
  <c r="I54" i="17"/>
  <c r="J54" i="17"/>
  <c r="L54" i="17"/>
  <c r="H55" i="17"/>
  <c r="I55" i="17"/>
  <c r="J55" i="17"/>
  <c r="L55" i="17"/>
  <c r="H62" i="8"/>
  <c r="I62" i="8"/>
  <c r="J62" i="8"/>
  <c r="L62" i="8"/>
  <c r="H63" i="8"/>
  <c r="I63" i="8"/>
  <c r="J63" i="8"/>
  <c r="L63" i="8"/>
  <c r="H64" i="8"/>
  <c r="I64" i="8"/>
  <c r="J64" i="8"/>
  <c r="L64" i="8"/>
  <c r="H65" i="8"/>
  <c r="I65" i="8"/>
  <c r="J65" i="8"/>
  <c r="L65" i="8"/>
  <c r="H66" i="8"/>
  <c r="I66" i="8"/>
  <c r="J66" i="8"/>
  <c r="L66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63" i="8" s="1"/>
  <c r="Y52" i="17" s="1"/>
  <c r="Y52" i="16" s="1"/>
  <c r="Y62" i="15" s="1"/>
  <c r="Y52" i="14" s="1"/>
  <c r="Y52" i="13" s="1"/>
  <c r="Y62" i="19" s="1"/>
  <c r="Y62" i="18" s="1"/>
  <c r="Z52" i="12"/>
  <c r="Z52" i="11" s="1"/>
  <c r="Z62" i="10" s="1"/>
  <c r="Z52" i="9" s="1"/>
  <c r="Z63" i="8" s="1"/>
  <c r="Z52" i="17" s="1"/>
  <c r="Z52" i="16" s="1"/>
  <c r="Z62" i="15" s="1"/>
  <c r="Z52" i="14" s="1"/>
  <c r="Z52" i="13" s="1"/>
  <c r="Z62" i="19" s="1"/>
  <c r="Z62" i="18" s="1"/>
  <c r="Y53" i="12"/>
  <c r="Y53" i="11" s="1"/>
  <c r="Y63" i="10" s="1"/>
  <c r="Y53" i="9" s="1"/>
  <c r="Y64" i="8" s="1"/>
  <c r="Y53" i="17" s="1"/>
  <c r="Y53" i="16" s="1"/>
  <c r="Y63" i="15" s="1"/>
  <c r="Y53" i="14" s="1"/>
  <c r="Y53" i="13" s="1"/>
  <c r="Y63" i="19" s="1"/>
  <c r="Y63" i="18" s="1"/>
  <c r="Z53" i="12"/>
  <c r="Z53" i="11" s="1"/>
  <c r="Z63" i="10" s="1"/>
  <c r="Z53" i="9" s="1"/>
  <c r="Z64" i="8" s="1"/>
  <c r="Z53" i="17" s="1"/>
  <c r="Z53" i="16" s="1"/>
  <c r="Z63" i="15" s="1"/>
  <c r="Z53" i="14" s="1"/>
  <c r="Z53" i="13" s="1"/>
  <c r="Z63" i="19" s="1"/>
  <c r="Z63" i="18" s="1"/>
  <c r="Y54" i="12"/>
  <c r="Y54" i="11" s="1"/>
  <c r="Y64" i="10" s="1"/>
  <c r="Y54" i="9" s="1"/>
  <c r="Y65" i="8" s="1"/>
  <c r="Y54" i="17" s="1"/>
  <c r="Y54" i="16" s="1"/>
  <c r="Y64" i="15" s="1"/>
  <c r="Y54" i="14" s="1"/>
  <c r="Y54" i="13" s="1"/>
  <c r="Y64" i="19" s="1"/>
  <c r="Y64" i="18" s="1"/>
  <c r="Z54" i="12"/>
  <c r="Z54" i="11" s="1"/>
  <c r="Z64" i="10" s="1"/>
  <c r="Z54" i="9" s="1"/>
  <c r="Z65" i="8" s="1"/>
  <c r="Z54" i="17" s="1"/>
  <c r="Z54" i="16" s="1"/>
  <c r="Z64" i="15" s="1"/>
  <c r="Z54" i="14" s="1"/>
  <c r="Z54" i="13" s="1"/>
  <c r="Z64" i="19" s="1"/>
  <c r="Z64" i="18" s="1"/>
  <c r="Y55" i="12"/>
  <c r="Y55" i="11" s="1"/>
  <c r="Y65" i="10" s="1"/>
  <c r="Y55" i="9" s="1"/>
  <c r="Y66" i="8" s="1"/>
  <c r="Y55" i="17" s="1"/>
  <c r="Y55" i="16" s="1"/>
  <c r="Y65" i="15" s="1"/>
  <c r="Y55" i="14" s="1"/>
  <c r="Y55" i="13" s="1"/>
  <c r="Y65" i="19" s="1"/>
  <c r="Y65" i="18" s="1"/>
  <c r="Z55" i="12"/>
  <c r="Z55" i="11" s="1"/>
  <c r="Z65" i="10" s="1"/>
  <c r="Z55" i="9" s="1"/>
  <c r="Z66" i="8" s="1"/>
  <c r="Z55" i="17" s="1"/>
  <c r="Z55" i="16" s="1"/>
  <c r="Z65" i="15" s="1"/>
  <c r="Z55" i="14" s="1"/>
  <c r="Z55" i="13" s="1"/>
  <c r="Z65" i="19" s="1"/>
  <c r="Z65" i="18" s="1"/>
  <c r="Z51" i="12"/>
  <c r="Z51" i="11" s="1"/>
  <c r="Z61" i="10" s="1"/>
  <c r="Z51" i="9" s="1"/>
  <c r="Z62" i="8" s="1"/>
  <c r="Z51" i="17" s="1"/>
  <c r="Z51" i="16" s="1"/>
  <c r="Z61" i="15" s="1"/>
  <c r="Z51" i="14" s="1"/>
  <c r="Z51" i="13" s="1"/>
  <c r="Z61" i="19" s="1"/>
  <c r="Z61" i="18" s="1"/>
  <c r="Y51" i="12"/>
  <c r="Y51" i="11" s="1"/>
  <c r="Y61" i="10" s="1"/>
  <c r="Y51" i="9" s="1"/>
  <c r="Y62" i="8" s="1"/>
  <c r="Y51" i="17" s="1"/>
  <c r="Y51" i="16" s="1"/>
  <c r="Y61" i="15" s="1"/>
  <c r="Y51" i="14" s="1"/>
  <c r="Y51" i="13" s="1"/>
  <c r="Y61" i="19" s="1"/>
  <c r="Y6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9" i="40"/>
  <c r="I10" i="40"/>
  <c r="L7" i="40"/>
  <c r="E11" i="16" l="1"/>
  <c r="B11" i="16" s="1"/>
  <c r="E51" i="10"/>
  <c r="E11" i="9"/>
  <c r="B11" i="9" s="1"/>
  <c r="E13" i="16"/>
  <c r="E13" i="9"/>
  <c r="B13" i="9" s="1"/>
  <c r="E53" i="10"/>
  <c r="E15" i="16"/>
  <c r="E55" i="10"/>
  <c r="E15" i="9"/>
  <c r="B15" i="9" s="1"/>
  <c r="E14" i="16"/>
  <c r="B14" i="16" s="1"/>
  <c r="E54" i="10"/>
  <c r="E14" i="9"/>
  <c r="B14" i="9" s="1"/>
  <c r="E12" i="16"/>
  <c r="B12" i="16" s="1"/>
  <c r="E12" i="9"/>
  <c r="B12" i="9" s="1"/>
  <c r="E52" i="10"/>
  <c r="B60" i="24"/>
  <c r="E43" i="12"/>
  <c r="M43" i="12" s="1"/>
  <c r="Y34" i="9"/>
  <c r="Y44" i="9" s="1"/>
  <c r="Y24" i="8" s="1"/>
  <c r="Y34" i="8" s="1"/>
  <c r="Y44" i="8" s="1"/>
  <c r="Y24" i="17" s="1"/>
  <c r="Y34" i="17" s="1"/>
  <c r="Y44" i="17" s="1"/>
  <c r="Y14" i="16" s="1"/>
  <c r="Y24" i="16" s="1"/>
  <c r="Z31" i="9"/>
  <c r="Z41" i="9" s="1"/>
  <c r="Z21" i="8" s="1"/>
  <c r="Z31" i="8" s="1"/>
  <c r="Z41" i="8" s="1"/>
  <c r="Z21" i="17" s="1"/>
  <c r="Z31" i="17" s="1"/>
  <c r="Z41" i="17" s="1"/>
  <c r="Z11" i="16" s="1"/>
  <c r="Z21" i="16" s="1"/>
  <c r="Z35" i="9"/>
  <c r="Z45" i="9" s="1"/>
  <c r="Z25" i="8" s="1"/>
  <c r="Z35" i="8" s="1"/>
  <c r="Z45" i="8" s="1"/>
  <c r="Z25" i="17" s="1"/>
  <c r="Z35" i="17" s="1"/>
  <c r="Z45" i="17" s="1"/>
  <c r="Z15" i="16" s="1"/>
  <c r="Z25" i="16" s="1"/>
  <c r="Z33" i="9"/>
  <c r="Z43" i="9" s="1"/>
  <c r="Z23" i="8" s="1"/>
  <c r="Z33" i="8" s="1"/>
  <c r="Z43" i="8" s="1"/>
  <c r="Z23" i="17" s="1"/>
  <c r="Z33" i="17" s="1"/>
  <c r="Z43" i="17" s="1"/>
  <c r="Z13" i="16" s="1"/>
  <c r="Z23" i="16" s="1"/>
  <c r="Y35" i="9"/>
  <c r="Y45" i="9" s="1"/>
  <c r="Y25" i="8" s="1"/>
  <c r="Y35" i="8" s="1"/>
  <c r="Y45" i="8" s="1"/>
  <c r="Y25" i="17" s="1"/>
  <c r="Y35" i="17" s="1"/>
  <c r="Y45" i="17" s="1"/>
  <c r="Y15" i="16" s="1"/>
  <c r="Y25" i="16" s="1"/>
  <c r="Y33" i="9"/>
  <c r="Y43" i="9" s="1"/>
  <c r="Y23" i="8" s="1"/>
  <c r="Y33" i="8" s="1"/>
  <c r="Y43" i="8" s="1"/>
  <c r="Y23" i="17" s="1"/>
  <c r="Y33" i="17" s="1"/>
  <c r="Y43" i="17" s="1"/>
  <c r="Y13" i="16" s="1"/>
  <c r="Y23" i="16" s="1"/>
  <c r="Z34" i="9"/>
  <c r="Z44" i="9" s="1"/>
  <c r="Z24" i="8" s="1"/>
  <c r="Z34" i="8" s="1"/>
  <c r="Z44" i="8" s="1"/>
  <c r="Z24" i="17" s="1"/>
  <c r="Z34" i="17" s="1"/>
  <c r="Z44" i="17" s="1"/>
  <c r="Z14" i="16" s="1"/>
  <c r="Z24" i="16" s="1"/>
  <c r="Z32" i="9"/>
  <c r="Z42" i="9" s="1"/>
  <c r="Z22" i="8" s="1"/>
  <c r="Z32" i="8" s="1"/>
  <c r="Z42" i="8" s="1"/>
  <c r="Z22" i="17" s="1"/>
  <c r="Z32" i="17" s="1"/>
  <c r="Z42" i="17" s="1"/>
  <c r="Z12" i="16" s="1"/>
  <c r="Z2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63" i="15"/>
  <c r="K61" i="19"/>
  <c r="K64" i="18"/>
  <c r="K6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2" i="8"/>
  <c r="K53" i="16"/>
  <c r="K62" i="15"/>
  <c r="K55" i="14"/>
  <c r="K54" i="14"/>
  <c r="K23" i="11"/>
  <c r="K25" i="17"/>
  <c r="K35" i="16"/>
  <c r="K25" i="15"/>
  <c r="K23" i="13"/>
  <c r="K14" i="11"/>
  <c r="K52" i="9"/>
  <c r="K65" i="8"/>
  <c r="K63" i="8"/>
  <c r="K54" i="17"/>
  <c r="K52" i="17"/>
  <c r="K5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51" i="17"/>
  <c r="K54" i="13"/>
  <c r="K62" i="19"/>
  <c r="K65" i="18"/>
  <c r="K6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H11" i="39"/>
  <c r="B76" i="25"/>
  <c r="B128" i="25"/>
  <c r="AF58" i="12"/>
  <c r="AF60" i="12" s="1"/>
  <c r="B50" i="25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63" i="19"/>
  <c r="E13" i="14"/>
  <c r="M13" i="14" s="1"/>
  <c r="V13" i="14" s="1"/>
  <c r="E33" i="8"/>
  <c r="E13" i="17"/>
  <c r="M13" i="17" s="1"/>
  <c r="V13" i="17" s="1"/>
  <c r="E23" i="18"/>
  <c r="E23" i="14"/>
  <c r="E33" i="9"/>
  <c r="E55" i="13"/>
  <c r="E45" i="17"/>
  <c r="E66" i="8"/>
  <c r="K42" i="18"/>
  <c r="K22" i="17"/>
  <c r="K22" i="12"/>
  <c r="K42" i="16"/>
  <c r="Y21" i="12"/>
  <c r="Y32" i="12"/>
  <c r="K22" i="18"/>
  <c r="K12" i="11"/>
  <c r="K12" i="8"/>
  <c r="K12" i="19"/>
  <c r="K32" i="12"/>
  <c r="K22" i="10"/>
  <c r="K42" i="8"/>
  <c r="K32" i="8"/>
  <c r="K52" i="18"/>
  <c r="E22" i="15"/>
  <c r="E15" i="15"/>
  <c r="M15" i="15" s="1"/>
  <c r="E45" i="13"/>
  <c r="E35" i="15"/>
  <c r="E55" i="9"/>
  <c r="E65" i="15"/>
  <c r="E25" i="9"/>
  <c r="M25" i="9" s="1"/>
  <c r="E35" i="11"/>
  <c r="E15" i="19"/>
  <c r="E15" i="14"/>
  <c r="M15" i="14" s="1"/>
  <c r="V15" i="14" s="1"/>
  <c r="E55" i="16"/>
  <c r="E35" i="9"/>
  <c r="E25" i="19"/>
  <c r="E25" i="17"/>
  <c r="E65" i="10"/>
  <c r="E45" i="18"/>
  <c r="E45" i="19"/>
  <c r="E45" i="14"/>
  <c r="E15" i="8"/>
  <c r="E55" i="11"/>
  <c r="E45" i="16"/>
  <c r="E24" i="10"/>
  <c r="E15" i="13"/>
  <c r="E55" i="14"/>
  <c r="E35" i="8"/>
  <c r="E25" i="10"/>
  <c r="E64" i="15"/>
  <c r="E24" i="13"/>
  <c r="E44" i="16"/>
  <c r="E44" i="9"/>
  <c r="E65" i="8"/>
  <c r="E24" i="17"/>
  <c r="E44" i="19"/>
  <c r="E54" i="17"/>
  <c r="E34" i="14"/>
  <c r="E34" i="13"/>
  <c r="E14" i="12"/>
  <c r="E34" i="10"/>
  <c r="E44" i="8"/>
  <c r="E64" i="18"/>
  <c r="E14" i="11"/>
  <c r="E64" i="10"/>
  <c r="E44" i="11"/>
  <c r="E34" i="17"/>
  <c r="E44" i="15"/>
  <c r="E54" i="18"/>
  <c r="E14" i="19"/>
  <c r="E14" i="8"/>
  <c r="E54" i="11"/>
  <c r="E55" i="18"/>
  <c r="E65" i="19"/>
  <c r="E45" i="15"/>
  <c r="E35" i="17"/>
  <c r="E25" i="8"/>
  <c r="E15" i="10"/>
  <c r="E45" i="11"/>
  <c r="E25" i="18"/>
  <c r="E35" i="19"/>
  <c r="E25" i="13"/>
  <c r="E25" i="14"/>
  <c r="E25" i="16"/>
  <c r="M25" i="16" s="1"/>
  <c r="E45" i="9"/>
  <c r="E15" i="11"/>
  <c r="E65" i="18"/>
  <c r="E25" i="15"/>
  <c r="E15" i="17"/>
  <c r="M15" i="17" s="1"/>
  <c r="V15" i="17" s="1"/>
  <c r="E45" i="8"/>
  <c r="E35" i="10"/>
  <c r="E25" i="11"/>
  <c r="E35" i="18"/>
  <c r="E35" i="13"/>
  <c r="E35" i="14"/>
  <c r="E35" i="16"/>
  <c r="E55" i="17"/>
  <c r="E45" i="10"/>
  <c r="E32" i="8"/>
  <c r="E32" i="18"/>
  <c r="E42" i="19"/>
  <c r="E22" i="14"/>
  <c r="E42" i="15"/>
  <c r="E22" i="17"/>
  <c r="E63" i="8"/>
  <c r="E32" i="10"/>
  <c r="E52" i="11"/>
  <c r="E22" i="12"/>
  <c r="E42" i="18"/>
  <c r="E62" i="19"/>
  <c r="E32" i="14"/>
  <c r="E62" i="15"/>
  <c r="E32" i="17"/>
  <c r="E22" i="9"/>
  <c r="M22" i="9" s="1"/>
  <c r="E42" i="10"/>
  <c r="E32" i="12"/>
  <c r="E12" i="12"/>
  <c r="E62" i="18"/>
  <c r="E32" i="13"/>
  <c r="E52" i="14"/>
  <c r="E42" i="16"/>
  <c r="E12" i="8"/>
  <c r="E12" i="11"/>
  <c r="E5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M12" i="18" s="1"/>
  <c r="V12" i="18" s="1"/>
  <c r="E52" i="13"/>
  <c r="E52" i="16"/>
  <c r="E12" i="10"/>
  <c r="E22" i="18"/>
  <c r="E12" i="14"/>
  <c r="M12" i="14" s="1"/>
  <c r="V12" i="14" s="1"/>
  <c r="E12" i="17"/>
  <c r="M12" i="17" s="1"/>
  <c r="V12" i="17" s="1"/>
  <c r="E22" i="10"/>
  <c r="E52" i="18"/>
  <c r="E42" i="14"/>
  <c r="E42" i="17"/>
  <c r="E62" i="10"/>
  <c r="E22" i="19"/>
  <c r="E13" i="18"/>
  <c r="M13" i="18" s="1"/>
  <c r="V13" i="18" s="1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64" i="8"/>
  <c r="E33" i="17"/>
  <c r="E6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53" i="17"/>
  <c r="E23" i="17"/>
  <c r="E43" i="16"/>
  <c r="E43" i="15"/>
  <c r="E63" i="18"/>
  <c r="E53" i="14"/>
  <c r="E43" i="18"/>
  <c r="E33" i="13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M14" i="17" s="1"/>
  <c r="V14" i="17" s="1"/>
  <c r="E34" i="15"/>
  <c r="E14" i="14"/>
  <c r="M14" i="14" s="1"/>
  <c r="V14" i="14" s="1"/>
  <c r="E34" i="19"/>
  <c r="E24" i="12"/>
  <c r="E24" i="11"/>
  <c r="E54" i="9"/>
  <c r="E24" i="8"/>
  <c r="E54" i="16"/>
  <c r="E24" i="15"/>
  <c r="E54" i="13"/>
  <c r="E34" i="9"/>
  <c r="E34" i="16"/>
  <c r="E14" i="15"/>
  <c r="M14" i="15" s="1"/>
  <c r="E24" i="18"/>
  <c r="E54" i="14"/>
  <c r="E44" i="13"/>
  <c r="E44" i="18"/>
  <c r="E34" i="12"/>
  <c r="E24" i="14"/>
  <c r="E64" i="19"/>
  <c r="E24" i="19"/>
  <c r="E34" i="18"/>
  <c r="E32" i="11"/>
  <c r="K31" i="8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AF65" i="12"/>
  <c r="AF62" i="12"/>
  <c r="AF67" i="12" s="1"/>
  <c r="K35" i="12"/>
  <c r="K43" i="16"/>
  <c r="K33" i="12"/>
  <c r="K32" i="19"/>
  <c r="K42" i="17"/>
  <c r="K55" i="16"/>
  <c r="H15" i="39"/>
  <c r="K43" i="12"/>
  <c r="K22" i="13"/>
  <c r="K54" i="11"/>
  <c r="K52" i="11"/>
  <c r="K65" i="10"/>
  <c r="K32" i="9"/>
  <c r="K45" i="18"/>
  <c r="AD58" i="17"/>
  <c r="K25" i="8"/>
  <c r="K32" i="10"/>
  <c r="K42" i="9"/>
  <c r="K62" i="10"/>
  <c r="K53" i="14"/>
  <c r="K35" i="15"/>
  <c r="K65" i="19"/>
  <c r="K63" i="19"/>
  <c r="K23" i="19"/>
  <c r="K25" i="19"/>
  <c r="K23" i="12"/>
  <c r="K22" i="11"/>
  <c r="K24" i="11"/>
  <c r="K23" i="17"/>
  <c r="K22" i="19"/>
  <c r="K32" i="14"/>
  <c r="K34" i="14"/>
  <c r="K43" i="8"/>
  <c r="K54" i="18"/>
  <c r="K55" i="11"/>
  <c r="K66" i="8"/>
  <c r="K64" i="8"/>
  <c r="K61" i="15"/>
  <c r="K25" i="10"/>
  <c r="K22" i="15"/>
  <c r="K32" i="17"/>
  <c r="K42" i="15"/>
  <c r="K42" i="13"/>
  <c r="K42" i="19"/>
  <c r="K55" i="13"/>
  <c r="K53" i="13"/>
  <c r="P1" i="12"/>
  <c r="H4" i="39" s="1"/>
  <c r="K24" i="15"/>
  <c r="H8" i="39"/>
  <c r="Q1" i="13"/>
  <c r="AD58" i="12"/>
  <c r="AE58" i="11"/>
  <c r="AE60" i="11" s="1"/>
  <c r="AE62" i="11" s="1"/>
  <c r="K51" i="16"/>
  <c r="K6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AF58" i="14"/>
  <c r="AF60" i="14" s="1"/>
  <c r="AF62" i="14" s="1"/>
  <c r="K35" i="10"/>
  <c r="K44" i="16"/>
  <c r="K32" i="18"/>
  <c r="K45" i="10"/>
  <c r="K13" i="11"/>
  <c r="K14" i="10"/>
  <c r="K14" i="19"/>
  <c r="AG58" i="14"/>
  <c r="AG60" i="14" s="1"/>
  <c r="AG62" i="14" s="1"/>
  <c r="K45" i="8"/>
  <c r="K42" i="14"/>
  <c r="K45" i="19"/>
  <c r="K12" i="10"/>
  <c r="K21" i="12"/>
  <c r="AD68" i="18"/>
  <c r="AF68" i="18"/>
  <c r="AF70" i="18" s="1"/>
  <c r="AF72" i="18" s="1"/>
  <c r="K31" i="9"/>
  <c r="K31" i="16"/>
  <c r="K21" i="15"/>
  <c r="AD68" i="19"/>
  <c r="K21" i="18"/>
  <c r="E14" i="18"/>
  <c r="M14" i="18" s="1"/>
  <c r="V14" i="18" s="1"/>
  <c r="E54" i="12"/>
  <c r="E44" i="12"/>
  <c r="K41" i="9"/>
  <c r="K41" i="8"/>
  <c r="K21" i="14"/>
  <c r="K21" i="13"/>
  <c r="K41" i="19"/>
  <c r="K31" i="13"/>
  <c r="K41" i="10"/>
  <c r="K51" i="18"/>
  <c r="K31" i="18"/>
  <c r="AD58" i="9"/>
  <c r="AF58" i="17"/>
  <c r="AF60" i="17" s="1"/>
  <c r="AF62" i="17" s="1"/>
  <c r="K41" i="17"/>
  <c r="E11" i="18"/>
  <c r="M11" i="18" s="1"/>
  <c r="V11" i="18" s="1"/>
  <c r="E51" i="18"/>
  <c r="E11" i="19"/>
  <c r="E11" i="13"/>
  <c r="E11" i="14"/>
  <c r="M11" i="14" s="1"/>
  <c r="V11" i="14" s="1"/>
  <c r="E11" i="15"/>
  <c r="M11" i="15" s="1"/>
  <c r="E21" i="16"/>
  <c r="M21" i="16" s="1"/>
  <c r="E11" i="17"/>
  <c r="E31" i="8"/>
  <c r="E41" i="9"/>
  <c r="E31" i="10"/>
  <c r="E31" i="11"/>
  <c r="E31" i="12"/>
  <c r="E51" i="14"/>
  <c r="E11" i="12"/>
  <c r="E41" i="18"/>
  <c r="E41" i="19"/>
  <c r="E21" i="12"/>
  <c r="E51" i="17"/>
  <c r="E21" i="18"/>
  <c r="E21" i="19"/>
  <c r="E21" i="13"/>
  <c r="E21" i="14"/>
  <c r="E21" i="15"/>
  <c r="E6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61" i="19"/>
  <c r="E31" i="18"/>
  <c r="E31" i="19"/>
  <c r="E41" i="10"/>
  <c r="E31" i="14"/>
  <c r="E41" i="11"/>
  <c r="E51" i="12"/>
  <c r="E41" i="15"/>
  <c r="E31" i="16"/>
  <c r="E31" i="15"/>
  <c r="E61" i="18"/>
  <c r="E62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AG58" i="12"/>
  <c r="AG60" i="12" s="1"/>
  <c r="K25" i="13"/>
  <c r="K42" i="10"/>
  <c r="K52" i="16"/>
  <c r="K65" i="15"/>
  <c r="K52" i="13"/>
  <c r="H12" i="39"/>
  <c r="K22" i="14"/>
  <c r="K24" i="14"/>
  <c r="K61" i="18"/>
  <c r="K32" i="13"/>
  <c r="H9" i="39"/>
  <c r="K53" i="9"/>
  <c r="K52" i="14"/>
  <c r="K24" i="12"/>
  <c r="K22" i="8"/>
  <c r="K24" i="19"/>
  <c r="K44" i="9"/>
  <c r="K34" i="15"/>
  <c r="K34" i="18"/>
  <c r="K44" i="8"/>
  <c r="K44" i="14"/>
  <c r="K64" i="10"/>
  <c r="K51" i="13"/>
  <c r="K24" i="10"/>
  <c r="K34" i="11"/>
  <c r="K34" i="17"/>
  <c r="K34" i="13"/>
  <c r="K44" i="10"/>
  <c r="K44" i="19"/>
  <c r="P1" i="13"/>
  <c r="H13" i="39" s="1"/>
  <c r="K55" i="17"/>
  <c r="K64" i="19"/>
  <c r="K32" i="16"/>
  <c r="H10" i="39"/>
  <c r="K53" i="17"/>
  <c r="K42" i="12"/>
  <c r="K34" i="16"/>
  <c r="AE58" i="12"/>
  <c r="AE60" i="12" s="1"/>
  <c r="H7" i="39"/>
  <c r="Q1" i="11"/>
  <c r="H14" i="39"/>
  <c r="AG58" i="9"/>
  <c r="AG60" i="9" s="1"/>
  <c r="H6" i="39"/>
  <c r="K41" i="12"/>
  <c r="AG69" i="8"/>
  <c r="AG71" i="8" s="1"/>
  <c r="AG58" i="16"/>
  <c r="AG60" i="16" s="1"/>
  <c r="AG68" i="19"/>
  <c r="AG70" i="19" s="1"/>
  <c r="AF58" i="16"/>
  <c r="AF60" i="16" s="1"/>
  <c r="AE58" i="9"/>
  <c r="AE60" i="9" s="1"/>
  <c r="AG58" i="13"/>
  <c r="AG60" i="13" s="1"/>
  <c r="E25" i="12"/>
  <c r="E45" i="12"/>
  <c r="E15" i="18"/>
  <c r="M15" i="18" s="1"/>
  <c r="V15" i="18" s="1"/>
  <c r="E15" i="12"/>
  <c r="E35" i="12"/>
  <c r="E55" i="12"/>
  <c r="AD69" i="8"/>
  <c r="AD68" i="15"/>
  <c r="AD58" i="14"/>
  <c r="AE58" i="14"/>
  <c r="AE60" i="14" s="1"/>
  <c r="AG58" i="11"/>
  <c r="AG60" i="11" s="1"/>
  <c r="AG68" i="18"/>
  <c r="AG70" i="18" s="1"/>
  <c r="AF69" i="8"/>
  <c r="AF71" i="8" s="1"/>
  <c r="AD58" i="13"/>
  <c r="AE68" i="15"/>
  <c r="AE70" i="15" s="1"/>
  <c r="AF58" i="9"/>
  <c r="AF60" i="9" s="1"/>
  <c r="AF58" i="13"/>
  <c r="AF60" i="13" s="1"/>
  <c r="AE68" i="19"/>
  <c r="AE70" i="19" s="1"/>
  <c r="AG68" i="15"/>
  <c r="AG70" i="15" s="1"/>
  <c r="AD68" i="10"/>
  <c r="AE58" i="17"/>
  <c r="AE60" i="17" s="1"/>
  <c r="AE58" i="16"/>
  <c r="AE60" i="16" s="1"/>
  <c r="AF68" i="10"/>
  <c r="AF70" i="10" s="1"/>
  <c r="AF68" i="19"/>
  <c r="AF70" i="19" s="1"/>
  <c r="AE69" i="8"/>
  <c r="AE71" i="8" s="1"/>
  <c r="AE68" i="18"/>
  <c r="AE70" i="18" s="1"/>
  <c r="AF58" i="11"/>
  <c r="AF60" i="11" s="1"/>
  <c r="AD58" i="11"/>
  <c r="AG68" i="10"/>
  <c r="AG70" i="10" s="1"/>
  <c r="K21" i="17"/>
  <c r="AF68" i="15"/>
  <c r="AF70" i="15" s="1"/>
  <c r="AE58" i="13"/>
  <c r="AE60" i="13" s="1"/>
  <c r="AG58" i="17"/>
  <c r="AG60" i="17" s="1"/>
  <c r="K41" i="15"/>
  <c r="K11" i="19"/>
  <c r="M51" i="40"/>
  <c r="M66" i="40"/>
  <c r="M8" i="40"/>
  <c r="M37" i="40"/>
  <c r="M22" i="40"/>
  <c r="B11" i="17" l="1"/>
  <c r="M11" i="17"/>
  <c r="V11" i="17" s="1"/>
  <c r="Z34" i="16"/>
  <c r="Z44" i="16" s="1"/>
  <c r="Y33" i="16"/>
  <c r="Y43" i="16" s="1"/>
  <c r="Z31" i="16"/>
  <c r="Z41" i="16" s="1"/>
  <c r="Y35" i="16"/>
  <c r="Y45" i="16" s="1"/>
  <c r="Y34" i="16"/>
  <c r="Y44" i="16" s="1"/>
  <c r="Z35" i="16"/>
  <c r="Z45" i="16" s="1"/>
  <c r="Z32" i="16"/>
  <c r="Z42" i="16" s="1"/>
  <c r="Z33" i="16"/>
  <c r="Z43" i="16" s="1"/>
  <c r="M11" i="9"/>
  <c r="F15" i="16"/>
  <c r="M13" i="9"/>
  <c r="F12" i="16"/>
  <c r="F11" i="16"/>
  <c r="B15" i="16"/>
  <c r="M12" i="9"/>
  <c r="M15" i="9"/>
  <c r="F14" i="16"/>
  <c r="M14" i="9"/>
  <c r="B13" i="16"/>
  <c r="F13" i="16"/>
  <c r="M55" i="10"/>
  <c r="F55" i="10"/>
  <c r="B55" i="10"/>
  <c r="F52" i="10"/>
  <c r="M52" i="10"/>
  <c r="B52" i="10"/>
  <c r="F54" i="10"/>
  <c r="B54" i="10"/>
  <c r="M54" i="10"/>
  <c r="M53" i="10"/>
  <c r="F53" i="10"/>
  <c r="B53" i="10"/>
  <c r="M51" i="10"/>
  <c r="B51" i="10"/>
  <c r="F51" i="10"/>
  <c r="M33" i="18"/>
  <c r="F43" i="12"/>
  <c r="B61" i="24"/>
  <c r="W60" i="25"/>
  <c r="B43" i="12"/>
  <c r="B33" i="18"/>
  <c r="F12" i="9"/>
  <c r="F14" i="9"/>
  <c r="F15" i="9"/>
  <c r="F13" i="9"/>
  <c r="F11" i="9"/>
  <c r="M33" i="19"/>
  <c r="R33" i="19" s="1"/>
  <c r="F33" i="19"/>
  <c r="M9" i="40"/>
  <c r="M38" i="40"/>
  <c r="M23" i="40"/>
  <c r="M52" i="40"/>
  <c r="M67" i="40"/>
  <c r="F33" i="16"/>
  <c r="F54" i="14"/>
  <c r="B34" i="16"/>
  <c r="F14" i="14"/>
  <c r="M44" i="10"/>
  <c r="R44" i="10" s="1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53" i="14"/>
  <c r="B63" i="10"/>
  <c r="R72" i="10" s="1"/>
  <c r="M53" i="13"/>
  <c r="F35" i="18"/>
  <c r="M55" i="18"/>
  <c r="R55" i="18" s="1"/>
  <c r="M14" i="8"/>
  <c r="F44" i="8"/>
  <c r="B14" i="12"/>
  <c r="F64" i="15"/>
  <c r="F15" i="13"/>
  <c r="B55" i="16"/>
  <c r="N64" i="16" s="1"/>
  <c r="M15" i="19"/>
  <c r="R15" i="19" s="1"/>
  <c r="B23" i="14"/>
  <c r="H16" i="39"/>
  <c r="M52" i="16"/>
  <c r="R52" i="16" s="1"/>
  <c r="F33" i="8"/>
  <c r="M44" i="12"/>
  <c r="F63" i="19"/>
  <c r="F23" i="15"/>
  <c r="B35" i="9"/>
  <c r="M33" i="8"/>
  <c r="B33" i="16"/>
  <c r="F24" i="13"/>
  <c r="B13" i="19"/>
  <c r="B65" i="15"/>
  <c r="Q74" i="15" s="1"/>
  <c r="F13" i="19"/>
  <c r="M65" i="15"/>
  <c r="F23" i="14"/>
  <c r="F65" i="15"/>
  <c r="M25" i="19"/>
  <c r="M23" i="14"/>
  <c r="F25" i="19"/>
  <c r="M13" i="19"/>
  <c r="B23" i="15"/>
  <c r="M33" i="11"/>
  <c r="F13" i="17"/>
  <c r="M23" i="15"/>
  <c r="F33" i="11"/>
  <c r="B33" i="11"/>
  <c r="F24" i="16"/>
  <c r="F23" i="19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63" i="19"/>
  <c r="F44" i="14"/>
  <c r="M54" i="17"/>
  <c r="M45" i="14"/>
  <c r="F13" i="14"/>
  <c r="B63" i="19"/>
  <c r="T72" i="19" s="1"/>
  <c r="M25" i="18"/>
  <c r="B25" i="18"/>
  <c r="M44" i="14"/>
  <c r="F24" i="19"/>
  <c r="B33" i="9"/>
  <c r="B13" i="14"/>
  <c r="F23" i="18"/>
  <c r="M23" i="18"/>
  <c r="F33" i="15"/>
  <c r="B23" i="18"/>
  <c r="M6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62" i="18"/>
  <c r="F65" i="18"/>
  <c r="F13" i="18"/>
  <c r="F15" i="10"/>
  <c r="M15" i="10"/>
  <c r="F65" i="8"/>
  <c r="M65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63" i="8"/>
  <c r="M33" i="13"/>
  <c r="F33" i="13"/>
  <c r="F13" i="13"/>
  <c r="F55" i="9"/>
  <c r="M55" i="9"/>
  <c r="B55" i="9"/>
  <c r="R64" i="9" s="1"/>
  <c r="B66" i="8"/>
  <c r="F66" i="8"/>
  <c r="M66" i="8"/>
  <c r="B44" i="17"/>
  <c r="M52" i="9"/>
  <c r="M35" i="19"/>
  <c r="F35" i="19"/>
  <c r="M35" i="17"/>
  <c r="F35" i="17"/>
  <c r="M25" i="17"/>
  <c r="M43" i="11"/>
  <c r="B34" i="15"/>
  <c r="B33" i="17"/>
  <c r="F33" i="17"/>
  <c r="F43" i="14"/>
  <c r="B13" i="12"/>
  <c r="F65" i="19"/>
  <c r="B44" i="11"/>
  <c r="F14" i="11"/>
  <c r="M34" i="13"/>
  <c r="B44" i="9"/>
  <c r="B64" i="15"/>
  <c r="M73" i="15" s="1"/>
  <c r="M64" i="15"/>
  <c r="B53" i="17"/>
  <c r="T62" i="17" s="1"/>
  <c r="M43" i="13"/>
  <c r="B32" i="8"/>
  <c r="M23" i="12"/>
  <c r="M15" i="11"/>
  <c r="M45" i="19"/>
  <c r="M32" i="10"/>
  <c r="M32" i="15"/>
  <c r="M32" i="11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62" i="18"/>
  <c r="B62" i="18"/>
  <c r="Q71" i="18" s="1"/>
  <c r="M63" i="8"/>
  <c r="B65" i="18"/>
  <c r="N74" i="18" s="1"/>
  <c r="F45" i="16"/>
  <c r="B25" i="17"/>
  <c r="B24" i="10"/>
  <c r="F63" i="18"/>
  <c r="F23" i="10"/>
  <c r="B63" i="8"/>
  <c r="P72" i="8" s="1"/>
  <c r="F64" i="8"/>
  <c r="B64" i="8"/>
  <c r="M73" i="8" s="1"/>
  <c r="M65" i="10"/>
  <c r="B55" i="14"/>
  <c r="T64" i="14" s="1"/>
  <c r="F54" i="13"/>
  <c r="M45" i="16"/>
  <c r="F55" i="14"/>
  <c r="F35" i="10"/>
  <c r="M54" i="13"/>
  <c r="F25" i="17"/>
  <c r="B24" i="13"/>
  <c r="B63" i="18"/>
  <c r="M72" i="18" s="1"/>
  <c r="F15" i="14"/>
  <c r="M32" i="9"/>
  <c r="F32" i="18"/>
  <c r="B54" i="17"/>
  <c r="O63" i="17" s="1"/>
  <c r="M24" i="13"/>
  <c r="M35" i="11"/>
  <c r="B35" i="11"/>
  <c r="B15" i="14"/>
  <c r="F55" i="11"/>
  <c r="F55" i="17"/>
  <c r="M55" i="14"/>
  <c r="B25" i="10"/>
  <c r="F25" i="10"/>
  <c r="F24" i="10"/>
  <c r="M24" i="10"/>
  <c r="M45" i="18"/>
  <c r="B45" i="18"/>
  <c r="F45" i="18"/>
  <c r="F45" i="19"/>
  <c r="M53" i="12"/>
  <c r="B42" i="17"/>
  <c r="M42" i="17"/>
  <c r="F42" i="17"/>
  <c r="M52" i="14"/>
  <c r="B52" i="14"/>
  <c r="F52" i="14"/>
  <c r="B52" i="11"/>
  <c r="B55" i="17"/>
  <c r="M64" i="17" s="1"/>
  <c r="M55" i="17"/>
  <c r="F25" i="13"/>
  <c r="B25" i="13"/>
  <c r="M25" i="13"/>
  <c r="B65" i="19"/>
  <c r="F74" i="19" s="1"/>
  <c r="F25" i="14"/>
  <c r="B45" i="19"/>
  <c r="M43" i="8"/>
  <c r="M25" i="10"/>
  <c r="B25" i="14"/>
  <c r="F44" i="19"/>
  <c r="M5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64" i="18"/>
  <c r="P73" i="18" s="1"/>
  <c r="F64" i="18"/>
  <c r="B65" i="8"/>
  <c r="T74" i="8" s="1"/>
  <c r="M65" i="8"/>
  <c r="M6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B45" i="11"/>
  <c r="M45" i="8"/>
  <c r="F54" i="9"/>
  <c r="F5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F25" i="18"/>
  <c r="M44" i="15"/>
  <c r="M14" i="12"/>
  <c r="B35" i="14"/>
  <c r="M23" i="11"/>
  <c r="F14" i="19"/>
  <c r="M34" i="8"/>
  <c r="M53" i="17"/>
  <c r="B25" i="11"/>
  <c r="M25" i="11"/>
  <c r="F25" i="11"/>
  <c r="M6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54" i="17"/>
  <c r="B45" i="9"/>
  <c r="F45" i="9"/>
  <c r="M45" i="9"/>
  <c r="B24" i="17"/>
  <c r="F44" i="18"/>
  <c r="F14" i="17"/>
  <c r="M22" i="10"/>
  <c r="B52" i="12"/>
  <c r="F52" i="12"/>
  <c r="F32" i="19"/>
  <c r="B32" i="19"/>
  <c r="F22" i="8"/>
  <c r="B22" i="8"/>
  <c r="B12" i="12"/>
  <c r="B62" i="19"/>
  <c r="F62" i="19"/>
  <c r="M22" i="17"/>
  <c r="F33" i="10"/>
  <c r="M43" i="16"/>
  <c r="B53" i="14"/>
  <c r="O6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32" i="18"/>
  <c r="B44" i="18"/>
  <c r="M23" i="17"/>
  <c r="B14" i="15"/>
  <c r="M44" i="13"/>
  <c r="M42" i="18"/>
  <c r="M33" i="17"/>
  <c r="M62" i="19"/>
  <c r="B22" i="17"/>
  <c r="B54" i="14"/>
  <c r="B14" i="10"/>
  <c r="M14" i="10"/>
  <c r="F14" i="10"/>
  <c r="B44" i="10"/>
  <c r="M64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6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63" i="15"/>
  <c r="F7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B22" i="16"/>
  <c r="F22" i="16"/>
  <c r="F42" i="11"/>
  <c r="B42" i="11"/>
  <c r="M52" i="17"/>
  <c r="F52" i="17"/>
  <c r="B52" i="17"/>
  <c r="B32" i="17"/>
  <c r="F32" i="17"/>
  <c r="B34" i="18"/>
  <c r="B3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42" i="9"/>
  <c r="M12" i="19"/>
  <c r="B34" i="9"/>
  <c r="F23" i="8"/>
  <c r="M42" i="16"/>
  <c r="F22" i="10"/>
  <c r="F64" i="19"/>
  <c r="F53" i="9"/>
  <c r="F42" i="19"/>
  <c r="M42" i="19"/>
  <c r="B43" i="8"/>
  <c r="B23" i="17"/>
  <c r="M24" i="12"/>
  <c r="M43" i="14"/>
  <c r="M12" i="12"/>
  <c r="M54" i="16"/>
  <c r="B44" i="14"/>
  <c r="M63" i="10"/>
  <c r="F63" i="10"/>
  <c r="M53" i="18"/>
  <c r="F53" i="18"/>
  <c r="M33" i="12"/>
  <c r="F33" i="12"/>
  <c r="B33" i="12"/>
  <c r="B42" i="14"/>
  <c r="F42" i="14"/>
  <c r="M42" i="8"/>
  <c r="F42" i="8"/>
  <c r="B42" i="8"/>
  <c r="B22" i="11"/>
  <c r="F22" i="11"/>
  <c r="M62" i="15"/>
  <c r="B62" i="15"/>
  <c r="F62" i="15"/>
  <c r="F24" i="18"/>
  <c r="B54" i="9"/>
  <c r="M44" i="17"/>
  <c r="F63" i="15"/>
  <c r="M6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53" i="14"/>
  <c r="B64" i="19"/>
  <c r="Q73" i="19" s="1"/>
  <c r="B22" i="18"/>
  <c r="B44" i="13"/>
  <c r="F22" i="18"/>
  <c r="B53" i="13"/>
  <c r="Q62" i="13" s="1"/>
  <c r="M12" i="10"/>
  <c r="B24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AF73" i="8"/>
  <c r="F11" i="14"/>
  <c r="B11" i="14"/>
  <c r="AE62" i="17"/>
  <c r="AF62" i="13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31" i="12"/>
  <c r="B31" i="12"/>
  <c r="F31" i="12"/>
  <c r="B11" i="15"/>
  <c r="F11" i="15"/>
  <c r="AF62" i="9"/>
  <c r="M45" i="12"/>
  <c r="B45" i="12"/>
  <c r="F45" i="12"/>
  <c r="AG73" i="8"/>
  <c r="AE62" i="12"/>
  <c r="AE65" i="12"/>
  <c r="AE65" i="11" s="1"/>
  <c r="AE75" i="10" s="1"/>
  <c r="AE65" i="9" s="1"/>
  <c r="AE76" i="8" s="1"/>
  <c r="AE65" i="17" s="1"/>
  <c r="AE65" i="16" s="1"/>
  <c r="AE75" i="15" s="1"/>
  <c r="AE65" i="14" s="1"/>
  <c r="AE65" i="13" s="1"/>
  <c r="AE75" i="19" s="1"/>
  <c r="AE75" i="18" s="1"/>
  <c r="M31" i="17"/>
  <c r="B31" i="17"/>
  <c r="F31" i="17"/>
  <c r="B21" i="9"/>
  <c r="F21" i="9"/>
  <c r="M62" i="8"/>
  <c r="B62" i="8"/>
  <c r="F62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AG62" i="17"/>
  <c r="M41" i="15"/>
  <c r="F41" i="15"/>
  <c r="B41" i="15"/>
  <c r="M41" i="9"/>
  <c r="B41" i="9"/>
  <c r="F41" i="9"/>
  <c r="AF72" i="15"/>
  <c r="AG62" i="12"/>
  <c r="AG67" i="12" s="1"/>
  <c r="AG65" i="12"/>
  <c r="AG65" i="11" s="1"/>
  <c r="AG75" i="10" s="1"/>
  <c r="AG65" i="9" s="1"/>
  <c r="AG76" i="8" s="1"/>
  <c r="AG65" i="17" s="1"/>
  <c r="AG65" i="16" s="1"/>
  <c r="AG75" i="15" s="1"/>
  <c r="AG65" i="14" s="1"/>
  <c r="AG65" i="13" s="1"/>
  <c r="AG75" i="19" s="1"/>
  <c r="AG7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76" i="8" s="1"/>
  <c r="AF65" i="17" s="1"/>
  <c r="AF65" i="16" s="1"/>
  <c r="AF75" i="15" s="1"/>
  <c r="AF65" i="14" s="1"/>
  <c r="AF65" i="13" s="1"/>
  <c r="AF75" i="19" s="1"/>
  <c r="AF75" i="18" s="1"/>
  <c r="AF72" i="19"/>
  <c r="AG7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8"/>
  <c r="F51" i="18"/>
  <c r="B51" i="18"/>
  <c r="AE72" i="15"/>
  <c r="M25" i="12"/>
  <c r="B25" i="12"/>
  <c r="F25" i="12"/>
  <c r="M41" i="16"/>
  <c r="B41" i="16"/>
  <c r="F41" i="16"/>
  <c r="AG72" i="10"/>
  <c r="M41" i="10"/>
  <c r="B41" i="10"/>
  <c r="F41" i="10"/>
  <c r="M61" i="15"/>
  <c r="B61" i="15"/>
  <c r="F61" i="15"/>
  <c r="B11" i="13"/>
  <c r="F11" i="13"/>
  <c r="AE62" i="13"/>
  <c r="AE72" i="18"/>
  <c r="AF72" i="10"/>
  <c r="AG7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F11" i="17"/>
  <c r="B11" i="18"/>
  <c r="F11" i="18"/>
  <c r="M61" i="18"/>
  <c r="B61" i="18"/>
  <c r="F61" i="18"/>
  <c r="M31" i="16"/>
  <c r="B31" i="16"/>
  <c r="F31" i="16"/>
  <c r="M51" i="17"/>
  <c r="B51" i="17"/>
  <c r="F51" i="17"/>
  <c r="M31" i="10"/>
  <c r="B31" i="10"/>
  <c r="F31" i="10"/>
  <c r="AF62" i="16"/>
  <c r="M51" i="13"/>
  <c r="B51" i="13"/>
  <c r="F51" i="13"/>
  <c r="M21" i="12"/>
  <c r="B21" i="12"/>
  <c r="F21" i="12"/>
  <c r="AE73" i="8"/>
  <c r="AE62" i="16"/>
  <c r="AE72" i="19"/>
  <c r="AE62" i="14"/>
  <c r="G12" i="39" s="1"/>
  <c r="M15" i="12"/>
  <c r="F15" i="12"/>
  <c r="B15" i="12"/>
  <c r="AG72" i="19"/>
  <c r="F11" i="8"/>
  <c r="B11" i="8"/>
  <c r="M51" i="12"/>
  <c r="B51" i="12"/>
  <c r="F51" i="12"/>
  <c r="M61" i="19"/>
  <c r="F61" i="19"/>
  <c r="B61" i="19"/>
  <c r="M41" i="17"/>
  <c r="B41" i="17"/>
  <c r="F41" i="17"/>
  <c r="M21" i="10"/>
  <c r="F21" i="10"/>
  <c r="B21" i="10"/>
  <c r="M21" i="19"/>
  <c r="B21" i="19"/>
  <c r="F21" i="19"/>
  <c r="M51" i="14"/>
  <c r="F51" i="14"/>
  <c r="B5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Z13" i="15" l="1"/>
  <c r="Z23" i="15" s="1"/>
  <c r="Z33" i="15" s="1"/>
  <c r="Z43" i="15" s="1"/>
  <c r="Z53" i="15" s="1"/>
  <c r="Z15" i="15"/>
  <c r="Z25" i="15" s="1"/>
  <c r="Z35" i="15" s="1"/>
  <c r="Z45" i="15" s="1"/>
  <c r="Z55" i="15" s="1"/>
  <c r="Y15" i="15"/>
  <c r="Y25" i="15" s="1"/>
  <c r="Y35" i="15" s="1"/>
  <c r="Y45" i="15" s="1"/>
  <c r="Y55" i="15" s="1"/>
  <c r="Y13" i="15"/>
  <c r="Y23" i="15" s="1"/>
  <c r="Y33" i="15" s="1"/>
  <c r="Y43" i="15" s="1"/>
  <c r="Y53" i="15" s="1"/>
  <c r="Z12" i="15"/>
  <c r="Z22" i="15" s="1"/>
  <c r="Z32" i="15" s="1"/>
  <c r="Z42" i="15" s="1"/>
  <c r="Z52" i="15" s="1"/>
  <c r="Y14" i="15"/>
  <c r="Y24" i="15" s="1"/>
  <c r="Y34" i="15" s="1"/>
  <c r="Y44" i="15" s="1"/>
  <c r="Y54" i="15" s="1"/>
  <c r="Z11" i="15"/>
  <c r="Z21" i="15" s="1"/>
  <c r="Z31" i="15" s="1"/>
  <c r="Z41" i="15" s="1"/>
  <c r="Z51" i="15" s="1"/>
  <c r="Z14" i="15"/>
  <c r="Z24" i="15" s="1"/>
  <c r="Z34" i="15" s="1"/>
  <c r="Z44" i="15" s="1"/>
  <c r="Z54" i="15" s="1"/>
  <c r="R53" i="10"/>
  <c r="R14" i="8"/>
  <c r="R51" i="10"/>
  <c r="M56" i="10"/>
  <c r="R54" i="10"/>
  <c r="R52" i="10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53" i="14"/>
  <c r="T64" i="16"/>
  <c r="F64" i="16"/>
  <c r="M64" i="16"/>
  <c r="Q64" i="16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65" i="8"/>
  <c r="R25" i="8"/>
  <c r="R14" i="15"/>
  <c r="R53" i="11"/>
  <c r="R54" i="11"/>
  <c r="R35" i="17"/>
  <c r="R33" i="9"/>
  <c r="R55" i="13"/>
  <c r="R53" i="16"/>
  <c r="R45" i="14"/>
  <c r="R25" i="14"/>
  <c r="R35" i="8"/>
  <c r="R44" i="12"/>
  <c r="M72" i="19"/>
  <c r="N64" i="13"/>
  <c r="R34" i="19"/>
  <c r="M62" i="16"/>
  <c r="O64" i="13"/>
  <c r="R72" i="19"/>
  <c r="R23" i="14"/>
  <c r="R13" i="19"/>
  <c r="N72" i="19"/>
  <c r="P72" i="19"/>
  <c r="R33" i="11"/>
  <c r="R65" i="15"/>
  <c r="M64" i="13"/>
  <c r="R13" i="17"/>
  <c r="AA13" i="17" s="1"/>
  <c r="Q64" i="13"/>
  <c r="R35" i="16"/>
  <c r="F74" i="15"/>
  <c r="T74" i="15"/>
  <c r="M74" i="15"/>
  <c r="R63" i="16"/>
  <c r="N74" i="15"/>
  <c r="O74" i="15"/>
  <c r="R34" i="17"/>
  <c r="R25" i="19"/>
  <c r="R74" i="15"/>
  <c r="Q63" i="16"/>
  <c r="P74" i="15"/>
  <c r="Q64" i="9"/>
  <c r="R33" i="15"/>
  <c r="R65" i="18"/>
  <c r="R24" i="10"/>
  <c r="R74" i="10"/>
  <c r="M74" i="10"/>
  <c r="R23" i="19"/>
  <c r="M63" i="16"/>
  <c r="R23" i="15"/>
  <c r="R24" i="8"/>
  <c r="N63" i="16"/>
  <c r="N73" i="15"/>
  <c r="R35" i="13"/>
  <c r="R73" i="15"/>
  <c r="R63" i="19"/>
  <c r="R34" i="16"/>
  <c r="R55" i="16"/>
  <c r="Q72" i="19"/>
  <c r="P64" i="13"/>
  <c r="R24" i="15"/>
  <c r="R43" i="18"/>
  <c r="F72" i="19"/>
  <c r="F64" i="13"/>
  <c r="R44" i="8"/>
  <c r="O72" i="19"/>
  <c r="R25" i="15"/>
  <c r="T64" i="13"/>
  <c r="R54" i="17"/>
  <c r="O61" i="13"/>
  <c r="N72" i="18"/>
  <c r="Q62" i="17"/>
  <c r="Q72" i="18"/>
  <c r="F72" i="18"/>
  <c r="R43" i="13"/>
  <c r="P72" i="18"/>
  <c r="N74" i="8"/>
  <c r="R43" i="19"/>
  <c r="R61" i="16"/>
  <c r="M64" i="14"/>
  <c r="P74" i="8"/>
  <c r="R15" i="13"/>
  <c r="R63" i="18"/>
  <c r="F62" i="16"/>
  <c r="R23" i="18"/>
  <c r="R45" i="19"/>
  <c r="R62" i="16"/>
  <c r="T63" i="16"/>
  <c r="R15" i="17"/>
  <c r="AA15" i="17" s="1"/>
  <c r="O64" i="9"/>
  <c r="T64" i="9"/>
  <c r="T61" i="13"/>
  <c r="R13" i="14"/>
  <c r="AA13" i="14" s="1"/>
  <c r="P64" i="11"/>
  <c r="O7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73" i="15"/>
  <c r="F73" i="19"/>
  <c r="T64" i="11"/>
  <c r="O72" i="15"/>
  <c r="R62" i="9"/>
  <c r="Q73" i="15"/>
  <c r="M73" i="19"/>
  <c r="R34" i="13"/>
  <c r="R15" i="10"/>
  <c r="F62" i="9"/>
  <c r="T73" i="15"/>
  <c r="R62" i="10"/>
  <c r="R14" i="13"/>
  <c r="O62" i="17"/>
  <c r="P73" i="15"/>
  <c r="R33" i="13"/>
  <c r="R25" i="9"/>
  <c r="R74" i="18"/>
  <c r="Q64" i="11"/>
  <c r="P74" i="18"/>
  <c r="Q74" i="10"/>
  <c r="R25" i="17"/>
  <c r="R52" i="18"/>
  <c r="R35" i="19"/>
  <c r="N62" i="17"/>
  <c r="F73" i="15"/>
  <c r="R12" i="14"/>
  <c r="AA12" i="14" s="1"/>
  <c r="R32" i="10"/>
  <c r="R52" i="11"/>
  <c r="R15" i="11"/>
  <c r="F64" i="11"/>
  <c r="M64" i="11"/>
  <c r="R35" i="15"/>
  <c r="M74" i="18"/>
  <c r="O64" i="11"/>
  <c r="R64" i="11"/>
  <c r="F62" i="17"/>
  <c r="R54" i="13"/>
  <c r="R73" i="19"/>
  <c r="T75" i="8"/>
  <c r="N75" i="8"/>
  <c r="F75" i="8"/>
  <c r="R75" i="8"/>
  <c r="P75" i="8"/>
  <c r="Q75" i="8"/>
  <c r="O75" i="8"/>
  <c r="M75" i="8"/>
  <c r="O62" i="9"/>
  <c r="P62" i="17"/>
  <c r="R22" i="15"/>
  <c r="R45" i="16"/>
  <c r="O74" i="18"/>
  <c r="T61" i="16"/>
  <c r="V52" i="12"/>
  <c r="R43" i="16"/>
  <c r="O61" i="16"/>
  <c r="Q74" i="18"/>
  <c r="R24" i="17"/>
  <c r="V53" i="12"/>
  <c r="V53" i="11" s="1"/>
  <c r="V63" i="10" s="1"/>
  <c r="V53" i="9" s="1"/>
  <c r="V64" i="8" s="1"/>
  <c r="V53" i="17" s="1"/>
  <c r="V53" i="16" s="1"/>
  <c r="V63" i="15" s="1"/>
  <c r="V53" i="14" s="1"/>
  <c r="V53" i="13" s="1"/>
  <c r="V63" i="19" s="1"/>
  <c r="V63" i="18" s="1"/>
  <c r="R55" i="14"/>
  <c r="R54" i="9"/>
  <c r="R42" i="15"/>
  <c r="R63" i="15"/>
  <c r="T62" i="9"/>
  <c r="R23" i="16"/>
  <c r="R25" i="10"/>
  <c r="N62" i="9"/>
  <c r="M62" i="17"/>
  <c r="R52" i="9"/>
  <c r="R62" i="18"/>
  <c r="T74" i="18"/>
  <c r="R62" i="19"/>
  <c r="R55" i="9"/>
  <c r="AC13" i="12"/>
  <c r="O63" i="13"/>
  <c r="R44" i="18"/>
  <c r="N63" i="13"/>
  <c r="R23" i="13"/>
  <c r="P62" i="9"/>
  <c r="R62" i="17"/>
  <c r="W14" i="12"/>
  <c r="R64" i="15"/>
  <c r="R23" i="12"/>
  <c r="R66" i="8"/>
  <c r="F74" i="18"/>
  <c r="R55" i="17"/>
  <c r="M61" i="16"/>
  <c r="O74" i="10"/>
  <c r="R54" i="14"/>
  <c r="M63" i="13"/>
  <c r="R24" i="14"/>
  <c r="R45" i="13"/>
  <c r="F62" i="14"/>
  <c r="R14" i="19"/>
  <c r="R12" i="15"/>
  <c r="R6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AA12" i="18" s="1"/>
  <c r="R42" i="13"/>
  <c r="N72" i="8"/>
  <c r="M72" i="8"/>
  <c r="Q72" i="8"/>
  <c r="F72" i="8"/>
  <c r="T61" i="14"/>
  <c r="P61" i="14"/>
  <c r="R63" i="8"/>
  <c r="Q61" i="13"/>
  <c r="R52" i="14"/>
  <c r="P71" i="18"/>
  <c r="R45" i="18"/>
  <c r="T63" i="13"/>
  <c r="R15" i="15"/>
  <c r="R22" i="11"/>
  <c r="R24" i="13"/>
  <c r="O72" i="18"/>
  <c r="Q64" i="14"/>
  <c r="R12" i="10"/>
  <c r="R45" i="8"/>
  <c r="P64" i="14"/>
  <c r="M73" i="18"/>
  <c r="R35" i="18"/>
  <c r="R63" i="13"/>
  <c r="R44" i="19"/>
  <c r="T72" i="18"/>
  <c r="F64" i="14"/>
  <c r="R23" i="10"/>
  <c r="O73" i="18"/>
  <c r="Q63" i="17"/>
  <c r="Q63" i="13"/>
  <c r="R24" i="16"/>
  <c r="R72" i="18"/>
  <c r="M74" i="19"/>
  <c r="Q73" i="18"/>
  <c r="Q74" i="8"/>
  <c r="M63" i="17"/>
  <c r="R65" i="10"/>
  <c r="Q61" i="16"/>
  <c r="F61" i="16"/>
  <c r="P61" i="16"/>
  <c r="P63" i="13"/>
  <c r="Q74" i="19"/>
  <c r="R34" i="14"/>
  <c r="R73" i="18"/>
  <c r="O74" i="8"/>
  <c r="T73" i="8"/>
  <c r="N73" i="8"/>
  <c r="P63" i="17"/>
  <c r="T63" i="17"/>
  <c r="F63" i="17"/>
  <c r="N63" i="17"/>
  <c r="O64" i="14"/>
  <c r="O74" i="19"/>
  <c r="N73" i="18"/>
  <c r="F74" i="8"/>
  <c r="O64" i="17"/>
  <c r="M71" i="18"/>
  <c r="R64" i="18"/>
  <c r="R63" i="17"/>
  <c r="N64" i="14"/>
  <c r="T73" i="18"/>
  <c r="R74" i="8"/>
  <c r="F73" i="8"/>
  <c r="P64" i="17"/>
  <c r="N71" i="18"/>
  <c r="O73" i="8"/>
  <c r="R73" i="8"/>
  <c r="R35" i="11"/>
  <c r="R32" i="9"/>
  <c r="R15" i="14"/>
  <c r="AA15" i="14" s="1"/>
  <c r="R23" i="17"/>
  <c r="Q73" i="8"/>
  <c r="R64" i="14"/>
  <c r="F73" i="18"/>
  <c r="R32" i="13"/>
  <c r="M74" i="8"/>
  <c r="T71" i="18"/>
  <c r="P73" i="8"/>
  <c r="R34" i="10"/>
  <c r="O71" i="18"/>
  <c r="R71" i="18"/>
  <c r="F71" i="18"/>
  <c r="O72" i="8"/>
  <c r="R72" i="8"/>
  <c r="T72" i="8"/>
  <c r="M61" i="11"/>
  <c r="T61" i="11"/>
  <c r="O61" i="11"/>
  <c r="P61" i="11"/>
  <c r="N61" i="11"/>
  <c r="R61" i="11"/>
  <c r="Q61" i="11"/>
  <c r="F61" i="11"/>
  <c r="R54" i="18"/>
  <c r="R53" i="12"/>
  <c r="AA53" i="12" s="1"/>
  <c r="P74" i="19"/>
  <c r="R42" i="16"/>
  <c r="R24" i="9"/>
  <c r="R13" i="18"/>
  <c r="AA13" i="18" s="1"/>
  <c r="R13" i="13"/>
  <c r="F64" i="17"/>
  <c r="Q61" i="14"/>
  <c r="M61" i="14"/>
  <c r="N74" i="10"/>
  <c r="R42" i="17"/>
  <c r="AC53" i="12"/>
  <c r="R74" i="19"/>
  <c r="R23" i="8"/>
  <c r="T64" i="17"/>
  <c r="R12" i="19"/>
  <c r="O61" i="14"/>
  <c r="W53" i="12"/>
  <c r="N74" i="19"/>
  <c r="F61" i="14"/>
  <c r="R34" i="9"/>
  <c r="X53" i="12"/>
  <c r="T74" i="19"/>
  <c r="R42" i="19"/>
  <c r="R43" i="8"/>
  <c r="Q64" i="17"/>
  <c r="F74" i="10"/>
  <c r="R61" i="14"/>
  <c r="N64" i="17"/>
  <c r="N61" i="14"/>
  <c r="T74" i="10"/>
  <c r="R45" i="9"/>
  <c r="R65" i="19"/>
  <c r="M6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62" i="14"/>
  <c r="R22" i="17"/>
  <c r="R44" i="16"/>
  <c r="R32" i="19"/>
  <c r="O62" i="13"/>
  <c r="R44" i="11"/>
  <c r="R25" i="11"/>
  <c r="R23" i="11"/>
  <c r="R45" i="10"/>
  <c r="R62" i="14"/>
  <c r="R45" i="11"/>
  <c r="T62" i="14"/>
  <c r="R44" i="15"/>
  <c r="R44" i="9"/>
  <c r="P62" i="14"/>
  <c r="N62" i="14"/>
  <c r="AC14" i="12"/>
  <c r="R5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AA12" i="17" s="1"/>
  <c r="P7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62" i="15"/>
  <c r="V12" i="12"/>
  <c r="R52" i="17"/>
  <c r="R64" i="8"/>
  <c r="R14" i="17"/>
  <c r="AA14" i="17" s="1"/>
  <c r="T72" i="15"/>
  <c r="T7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72" i="15"/>
  <c r="N73" i="19"/>
  <c r="AC52" i="12"/>
  <c r="F62" i="13"/>
  <c r="M62" i="13"/>
  <c r="N62" i="13"/>
  <c r="T62" i="13"/>
  <c r="R62" i="13"/>
  <c r="R34" i="11"/>
  <c r="T71" i="15"/>
  <c r="P71" i="15"/>
  <c r="Q71" i="15"/>
  <c r="N71" i="15"/>
  <c r="M71" i="15"/>
  <c r="R71" i="15"/>
  <c r="F71" i="15"/>
  <c r="O71" i="15"/>
  <c r="R42" i="8"/>
  <c r="O62" i="11"/>
  <c r="N62" i="11"/>
  <c r="P62" i="11"/>
  <c r="T62" i="11"/>
  <c r="M62" i="11"/>
  <c r="F62" i="11"/>
  <c r="Q62" i="11"/>
  <c r="R62" i="11"/>
  <c r="R43" i="17"/>
  <c r="R63" i="14"/>
  <c r="P63" i="14"/>
  <c r="N63" i="14"/>
  <c r="Q63" i="14"/>
  <c r="T63" i="14"/>
  <c r="O63" i="14"/>
  <c r="F63" i="14"/>
  <c r="M63" i="14"/>
  <c r="R42" i="12"/>
  <c r="M71" i="19"/>
  <c r="P71" i="19"/>
  <c r="R71" i="19"/>
  <c r="N71" i="19"/>
  <c r="T71" i="19"/>
  <c r="Q71" i="19"/>
  <c r="F71" i="19"/>
  <c r="O71" i="19"/>
  <c r="R43" i="15"/>
  <c r="N72" i="15"/>
  <c r="R33" i="10"/>
  <c r="M72" i="15"/>
  <c r="R52" i="12"/>
  <c r="R22" i="13"/>
  <c r="R13" i="8"/>
  <c r="X13" i="12"/>
  <c r="Q72" i="15"/>
  <c r="P7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64" i="19"/>
  <c r="R32" i="12"/>
  <c r="R32" i="16"/>
  <c r="R13" i="12"/>
  <c r="AA13" i="12" s="1"/>
  <c r="R14" i="14"/>
  <c r="AA14" i="14" s="1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43" i="9"/>
  <c r="O61" i="17"/>
  <c r="N61" i="17"/>
  <c r="F61" i="17"/>
  <c r="P61" i="17"/>
  <c r="Q61" i="17"/>
  <c r="M61" i="17"/>
  <c r="T61" i="17"/>
  <c r="R61" i="17"/>
  <c r="R23" i="9"/>
  <c r="R33" i="17"/>
  <c r="M61" i="12"/>
  <c r="N61" i="12"/>
  <c r="R61" i="12"/>
  <c r="Q61" i="12"/>
  <c r="P61" i="12"/>
  <c r="T61" i="12"/>
  <c r="O61" i="12"/>
  <c r="F61" i="12"/>
  <c r="R14" i="18"/>
  <c r="AA14" i="18" s="1"/>
  <c r="V54" i="12"/>
  <c r="V54" i="11" s="1"/>
  <c r="V64" i="10" s="1"/>
  <c r="V54" i="9" s="1"/>
  <c r="V65" i="8" s="1"/>
  <c r="V54" i="17" s="1"/>
  <c r="V54" i="16" s="1"/>
  <c r="V64" i="15" s="1"/>
  <c r="V54" i="14" s="1"/>
  <c r="V54" i="13" s="1"/>
  <c r="V64" i="19" s="1"/>
  <c r="V6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61" i="18"/>
  <c r="M66" i="18"/>
  <c r="R21" i="18"/>
  <c r="M26" i="18"/>
  <c r="R21" i="10"/>
  <c r="M26" i="10"/>
  <c r="R21" i="8"/>
  <c r="M26" i="8"/>
  <c r="R11" i="19"/>
  <c r="M16" i="19"/>
  <c r="R62" i="8"/>
  <c r="M67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71" i="8"/>
  <c r="T71" i="8"/>
  <c r="F71" i="8"/>
  <c r="N71" i="8"/>
  <c r="M71" i="8"/>
  <c r="O71" i="8"/>
  <c r="Q71" i="8"/>
  <c r="R71" i="8"/>
  <c r="AE67" i="12"/>
  <c r="AE67" i="11" s="1"/>
  <c r="AE77" i="10" s="1"/>
  <c r="AE67" i="9" s="1"/>
  <c r="AE78" i="8" s="1"/>
  <c r="AE67" i="17" s="1"/>
  <c r="AE67" i="16" s="1"/>
  <c r="AE77" i="15" s="1"/>
  <c r="AE67" i="14" s="1"/>
  <c r="AE67" i="13" s="1"/>
  <c r="AE77" i="19" s="1"/>
  <c r="AE77" i="18" s="1"/>
  <c r="R31" i="13"/>
  <c r="M36" i="13"/>
  <c r="R70" i="19"/>
  <c r="N70" i="19"/>
  <c r="P70" i="19"/>
  <c r="Q70" i="19"/>
  <c r="F70" i="19"/>
  <c r="T70" i="19"/>
  <c r="M70" i="19"/>
  <c r="O7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AA15" i="18" s="1"/>
  <c r="R51" i="12"/>
  <c r="V51" i="12"/>
  <c r="V51" i="11" s="1"/>
  <c r="V61" i="10" s="1"/>
  <c r="V51" i="9" s="1"/>
  <c r="V62" i="8" s="1"/>
  <c r="V51" i="17" s="1"/>
  <c r="V51" i="16" s="1"/>
  <c r="V61" i="15" s="1"/>
  <c r="V51" i="14" s="1"/>
  <c r="V51" i="13" s="1"/>
  <c r="V61" i="19" s="1"/>
  <c r="V61" i="18" s="1"/>
  <c r="M56" i="12"/>
  <c r="V55" i="12"/>
  <c r="V55" i="11" s="1"/>
  <c r="V65" i="10" s="1"/>
  <c r="V55" i="9" s="1"/>
  <c r="V66" i="8" s="1"/>
  <c r="V55" i="17" s="1"/>
  <c r="V55" i="16" s="1"/>
  <c r="V65" i="15" s="1"/>
  <c r="V55" i="14" s="1"/>
  <c r="V55" i="13" s="1"/>
  <c r="V65" i="19" s="1"/>
  <c r="V6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11" i="18"/>
  <c r="AA11" i="18" s="1"/>
  <c r="M16" i="18"/>
  <c r="T41" i="9"/>
  <c r="R41" i="9"/>
  <c r="M46" i="9"/>
  <c r="R11" i="17"/>
  <c r="AA11" i="17" s="1"/>
  <c r="M16" i="17"/>
  <c r="R41" i="8"/>
  <c r="M46" i="8"/>
  <c r="AG67" i="11"/>
  <c r="AG77" i="10" s="1"/>
  <c r="AG67" i="9" s="1"/>
  <c r="AG78" i="8" s="1"/>
  <c r="AG67" i="17" s="1"/>
  <c r="AG67" i="16" s="1"/>
  <c r="AG77" i="15" s="1"/>
  <c r="AG67" i="14" s="1"/>
  <c r="AG67" i="13" s="1"/>
  <c r="AG77" i="19" s="1"/>
  <c r="AG77" i="18" s="1"/>
  <c r="R21" i="14"/>
  <c r="M26" i="14"/>
  <c r="R41" i="13"/>
  <c r="M46" i="13"/>
  <c r="R51" i="9"/>
  <c r="M56" i="9"/>
  <c r="T60" i="14"/>
  <c r="O60" i="14"/>
  <c r="Q60" i="14"/>
  <c r="P60" i="14"/>
  <c r="F60" i="14"/>
  <c r="R60" i="14"/>
  <c r="N60" i="14"/>
  <c r="M60" i="14"/>
  <c r="R51" i="14"/>
  <c r="M56" i="14"/>
  <c r="R51" i="13"/>
  <c r="M56" i="13"/>
  <c r="R51" i="17"/>
  <c r="M5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61" i="19"/>
  <c r="M66" i="19"/>
  <c r="M26" i="12"/>
  <c r="R61" i="15"/>
  <c r="M66" i="15"/>
  <c r="R41" i="16"/>
  <c r="M46" i="16"/>
  <c r="R70" i="18"/>
  <c r="N70" i="18"/>
  <c r="F70" i="18"/>
  <c r="O70" i="18"/>
  <c r="M70" i="18"/>
  <c r="T70" i="18"/>
  <c r="P70" i="18"/>
  <c r="Q70" i="18"/>
  <c r="T70" i="15"/>
  <c r="F70" i="15"/>
  <c r="O70" i="15"/>
  <c r="N70" i="15"/>
  <c r="R70" i="15"/>
  <c r="M70" i="15"/>
  <c r="P70" i="15"/>
  <c r="Q7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60" i="17"/>
  <c r="F60" i="17"/>
  <c r="M60" i="17"/>
  <c r="R60" i="17"/>
  <c r="N60" i="17"/>
  <c r="Q60" i="17"/>
  <c r="O60" i="17"/>
  <c r="T60" i="17"/>
  <c r="AF67" i="11"/>
  <c r="AF77" i="10" s="1"/>
  <c r="AF67" i="9" s="1"/>
  <c r="AF78" i="8" s="1"/>
  <c r="AF67" i="17" s="1"/>
  <c r="AF67" i="16" s="1"/>
  <c r="AF77" i="15" s="1"/>
  <c r="AF67" i="14" s="1"/>
  <c r="AF67" i="13" s="1"/>
  <c r="AF77" i="19" s="1"/>
  <c r="AF77" i="18" s="1"/>
  <c r="R31" i="15"/>
  <c r="M36" i="15"/>
  <c r="R11" i="14"/>
  <c r="AA11" i="14" s="1"/>
  <c r="M16" i="14"/>
  <c r="Y25" i="14" l="1"/>
  <c r="Y35" i="14" s="1"/>
  <c r="Y45" i="14" s="1"/>
  <c r="Z25" i="14"/>
  <c r="Z35" i="14" s="1"/>
  <c r="Z45" i="14" s="1"/>
  <c r="Z24" i="14"/>
  <c r="Z34" i="14" s="1"/>
  <c r="Z44" i="14" s="1"/>
  <c r="Y24" i="14"/>
  <c r="Y34" i="14" s="1"/>
  <c r="Y44" i="14" s="1"/>
  <c r="Y23" i="14"/>
  <c r="Y33" i="14" s="1"/>
  <c r="Y43" i="14" s="1"/>
  <c r="Z21" i="14"/>
  <c r="Z31" i="14" s="1"/>
  <c r="Z41" i="14" s="1"/>
  <c r="Z22" i="14"/>
  <c r="Z32" i="14" s="1"/>
  <c r="Z42" i="14" s="1"/>
  <c r="Z23" i="14"/>
  <c r="Z33" i="14" s="1"/>
  <c r="Z43" i="14" s="1"/>
  <c r="M1" i="10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54" i="11"/>
  <c r="AA64" i="10" s="1"/>
  <c r="AA54" i="9" s="1"/>
  <c r="AA65" i="8" s="1"/>
  <c r="AA54" i="17" s="1"/>
  <c r="AA54" i="16" s="1"/>
  <c r="AA64" i="15" s="1"/>
  <c r="AA54" i="14" s="1"/>
  <c r="AA54" i="13" s="1"/>
  <c r="AA64" i="19" s="1"/>
  <c r="AA6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66" i="8" s="1"/>
  <c r="W55" i="17" s="1"/>
  <c r="W55" i="16" s="1"/>
  <c r="W65" i="15" s="1"/>
  <c r="W55" i="14" s="1"/>
  <c r="W55" i="13" s="1"/>
  <c r="W65" i="19" s="1"/>
  <c r="W6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7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63" i="8" s="1"/>
  <c r="AC52" i="17" s="1"/>
  <c r="AC52" i="16" s="1"/>
  <c r="AC62" i="15" s="1"/>
  <c r="AC52" i="14" s="1"/>
  <c r="AC52" i="13" s="1"/>
  <c r="AC62" i="19" s="1"/>
  <c r="AC6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76" i="8"/>
  <c r="P2" i="8" s="1"/>
  <c r="W53" i="11"/>
  <c r="W63" i="10" s="1"/>
  <c r="W53" i="9" s="1"/>
  <c r="W64" i="8" s="1"/>
  <c r="W53" i="17" s="1"/>
  <c r="W53" i="16" s="1"/>
  <c r="W63" i="15" s="1"/>
  <c r="W53" i="14" s="1"/>
  <c r="W53" i="13" s="1"/>
  <c r="W63" i="19" s="1"/>
  <c r="W6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75" i="18"/>
  <c r="Q2" i="18" s="1"/>
  <c r="M65" i="16"/>
  <c r="M2" i="16" s="1"/>
  <c r="AC54" i="11"/>
  <c r="AC64" i="10" s="1"/>
  <c r="AC54" i="9" s="1"/>
  <c r="AC65" i="8" s="1"/>
  <c r="AC54" i="17" s="1"/>
  <c r="AC54" i="16" s="1"/>
  <c r="AC64" i="15" s="1"/>
  <c r="AC54" i="14" s="1"/>
  <c r="AC54" i="13" s="1"/>
  <c r="AC64" i="19" s="1"/>
  <c r="AC64" i="18" s="1"/>
  <c r="Q65" i="13"/>
  <c r="Q2" i="13" s="1"/>
  <c r="P7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66" i="8" s="1"/>
  <c r="AA55" i="17" s="1"/>
  <c r="AA55" i="16" s="1"/>
  <c r="AA65" i="15" s="1"/>
  <c r="AA55" i="14" s="1"/>
  <c r="AA55" i="13" s="1"/>
  <c r="AA65" i="19" s="1"/>
  <c r="AA65" i="18" s="1"/>
  <c r="X54" i="11"/>
  <c r="X64" i="10" s="1"/>
  <c r="X54" i="9" s="1"/>
  <c r="X65" i="8" s="1"/>
  <c r="X54" i="17" s="1"/>
  <c r="X54" i="16" s="1"/>
  <c r="X64" i="15" s="1"/>
  <c r="X54" i="14" s="1"/>
  <c r="X54" i="13" s="1"/>
  <c r="X64" i="19" s="1"/>
  <c r="X64" i="18" s="1"/>
  <c r="AC53" i="11"/>
  <c r="AC63" i="10" s="1"/>
  <c r="AC53" i="9" s="1"/>
  <c r="AC64" i="8" s="1"/>
  <c r="AC53" i="17" s="1"/>
  <c r="AC53" i="16" s="1"/>
  <c r="AC63" i="15" s="1"/>
  <c r="AC53" i="14" s="1"/>
  <c r="AC53" i="13" s="1"/>
  <c r="AC63" i="19" s="1"/>
  <c r="AC6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76" i="8"/>
  <c r="M2" i="8" s="1"/>
  <c r="V22" i="12"/>
  <c r="W52" i="12"/>
  <c r="O75" i="18"/>
  <c r="O2" i="18" s="1"/>
  <c r="P65" i="13"/>
  <c r="P2" i="13" s="1"/>
  <c r="Q65" i="16"/>
  <c r="Q2" i="16" s="1"/>
  <c r="AC65" i="10"/>
  <c r="AC55" i="9" s="1"/>
  <c r="AC66" i="8" s="1"/>
  <c r="AC55" i="17" s="1"/>
  <c r="AC55" i="16" s="1"/>
  <c r="AC65" i="15" s="1"/>
  <c r="AC55" i="14" s="1"/>
  <c r="AC55" i="13" s="1"/>
  <c r="AC65" i="19" s="1"/>
  <c r="AC65" i="18" s="1"/>
  <c r="N76" i="8"/>
  <c r="N2" i="8" s="1"/>
  <c r="X65" i="10"/>
  <c r="X55" i="9" s="1"/>
  <c r="X66" i="8" s="1"/>
  <c r="X55" i="17" s="1"/>
  <c r="X55" i="16" s="1"/>
  <c r="X65" i="15" s="1"/>
  <c r="X55" i="14" s="1"/>
  <c r="X55" i="13" s="1"/>
  <c r="X65" i="19" s="1"/>
  <c r="X65" i="18" s="1"/>
  <c r="N75" i="18"/>
  <c r="N2" i="18" s="1"/>
  <c r="P65" i="16"/>
  <c r="P2" i="16" s="1"/>
  <c r="Q76" i="8"/>
  <c r="Q2" i="8" s="1"/>
  <c r="R75" i="18"/>
  <c r="R2" i="18" s="1"/>
  <c r="T76" i="8"/>
  <c r="T2" i="8" s="1"/>
  <c r="R76" i="8"/>
  <c r="O76" i="8"/>
  <c r="O2" i="8" s="1"/>
  <c r="T75" i="18"/>
  <c r="T2" i="18" s="1"/>
  <c r="M65" i="17"/>
  <c r="M2" i="17" s="1"/>
  <c r="P75" i="10"/>
  <c r="P2" i="10" s="1"/>
  <c r="X53" i="11"/>
  <c r="X63" i="10" s="1"/>
  <c r="X53" i="9" s="1"/>
  <c r="X64" i="8" s="1"/>
  <c r="X53" i="17" s="1"/>
  <c r="X53" i="16" s="1"/>
  <c r="X63" i="15" s="1"/>
  <c r="X53" i="14" s="1"/>
  <c r="X53" i="13" s="1"/>
  <c r="X63" i="19" s="1"/>
  <c r="X63" i="18" s="1"/>
  <c r="O75" i="19"/>
  <c r="O2" i="19" s="1"/>
  <c r="O65" i="13"/>
  <c r="O2" i="13" s="1"/>
  <c r="R65" i="17"/>
  <c r="R2" i="17" s="1"/>
  <c r="M65" i="9"/>
  <c r="M2" i="9" s="1"/>
  <c r="Q65" i="9"/>
  <c r="Q2" i="9" s="1"/>
  <c r="M65" i="14"/>
  <c r="M2" i="14" s="1"/>
  <c r="W54" i="11"/>
  <c r="W64" i="10" s="1"/>
  <c r="W54" i="9" s="1"/>
  <c r="W65" i="8" s="1"/>
  <c r="W54" i="17" s="1"/>
  <c r="W54" i="16" s="1"/>
  <c r="W64" i="15" s="1"/>
  <c r="W54" i="14" s="1"/>
  <c r="W54" i="13" s="1"/>
  <c r="W64" i="19" s="1"/>
  <c r="W64" i="18" s="1"/>
  <c r="N75" i="10"/>
  <c r="N2" i="10" s="1"/>
  <c r="T65" i="17"/>
  <c r="T2" i="17" s="1"/>
  <c r="Q75" i="15"/>
  <c r="Q2" i="15" s="1"/>
  <c r="P65" i="17"/>
  <c r="P2" i="17" s="1"/>
  <c r="O65" i="11"/>
  <c r="O2" i="11" s="1"/>
  <c r="P65" i="11"/>
  <c r="P2" i="11" s="1"/>
  <c r="P75" i="19"/>
  <c r="P2" i="19" s="1"/>
  <c r="R65" i="11"/>
  <c r="R2" i="11" s="1"/>
  <c r="M75" i="15"/>
  <c r="M2" i="15" s="1"/>
  <c r="O65" i="17"/>
  <c r="O2" i="17" s="1"/>
  <c r="R75" i="10"/>
  <c r="R2" i="10" s="1"/>
  <c r="P65" i="14"/>
  <c r="P2" i="14" s="1"/>
  <c r="N65" i="11"/>
  <c r="N2" i="11" s="1"/>
  <c r="M75" i="19"/>
  <c r="M2" i="19" s="1"/>
  <c r="R65" i="14"/>
  <c r="R2" i="14" s="1"/>
  <c r="M75" i="10"/>
  <c r="M2" i="10" s="1"/>
  <c r="Q75" i="10"/>
  <c r="Q2" i="10" s="1"/>
  <c r="R65" i="13"/>
  <c r="R2" i="13" s="1"/>
  <c r="O65" i="9"/>
  <c r="O2" i="9" s="1"/>
  <c r="O65" i="14"/>
  <c r="O2" i="14" s="1"/>
  <c r="M65" i="11"/>
  <c r="T75" i="15"/>
  <c r="T2" i="15" s="1"/>
  <c r="T65" i="9"/>
  <c r="T2" i="9" s="1"/>
  <c r="N75" i="19"/>
  <c r="N2" i="19" s="1"/>
  <c r="Q65" i="17"/>
  <c r="Q2" i="17" s="1"/>
  <c r="R65" i="9"/>
  <c r="R2" i="9" s="1"/>
  <c r="O75" i="10"/>
  <c r="O2" i="10" s="1"/>
  <c r="R75" i="19"/>
  <c r="R2" i="19" s="1"/>
  <c r="AA63" i="10"/>
  <c r="AA53" i="9" s="1"/>
  <c r="AA64" i="8" s="1"/>
  <c r="AA53" i="17" s="1"/>
  <c r="AA53" i="16" s="1"/>
  <c r="AA63" i="15" s="1"/>
  <c r="AA53" i="14" s="1"/>
  <c r="AA53" i="13" s="1"/>
  <c r="AA63" i="19" s="1"/>
  <c r="AA63" i="18" s="1"/>
  <c r="Q65" i="11"/>
  <c r="Q2" i="11" s="1"/>
  <c r="N65" i="9"/>
  <c r="N2" i="9" s="1"/>
  <c r="M65" i="13"/>
  <c r="M2" i="13" s="1"/>
  <c r="T75" i="10"/>
  <c r="T2" i="10" s="1"/>
  <c r="T65" i="14"/>
  <c r="T2" i="14" s="1"/>
  <c r="T65" i="13"/>
  <c r="T2" i="13" s="1"/>
  <c r="P75" i="15"/>
  <c r="P2" i="15" s="1"/>
  <c r="N65" i="17"/>
  <c r="N2" i="17" s="1"/>
  <c r="N75" i="15"/>
  <c r="N2" i="15" s="1"/>
  <c r="Q75" i="19"/>
  <c r="Q2" i="19" s="1"/>
  <c r="Q65" i="14"/>
  <c r="Q2" i="14" s="1"/>
  <c r="R75" i="15"/>
  <c r="R2" i="15" s="1"/>
  <c r="N65" i="13"/>
  <c r="N2" i="13" s="1"/>
  <c r="P65" i="9"/>
  <c r="P2" i="9" s="1"/>
  <c r="O75" i="15"/>
  <c r="O2" i="15" s="1"/>
  <c r="N65" i="14"/>
  <c r="N2" i="14" s="1"/>
  <c r="T65" i="11"/>
  <c r="T2" i="11" s="1"/>
  <c r="T7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R36" i="14"/>
  <c r="T56" i="16"/>
  <c r="N46" i="15"/>
  <c r="R36" i="11"/>
  <c r="O46" i="19"/>
  <c r="T26" i="9"/>
  <c r="R46" i="16"/>
  <c r="R36" i="17"/>
  <c r="R56" i="16"/>
  <c r="O36" i="15"/>
  <c r="R26" i="19"/>
  <c r="R56" i="11"/>
  <c r="O66" i="15"/>
  <c r="O66" i="19"/>
  <c r="R46" i="11"/>
  <c r="T46" i="12"/>
  <c r="R26" i="13"/>
  <c r="R56" i="13"/>
  <c r="N5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67" i="8"/>
  <c r="R26" i="8"/>
  <c r="T16" i="8"/>
  <c r="N26" i="19"/>
  <c r="R26" i="9"/>
  <c r="R46" i="12"/>
  <c r="O56" i="9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62" i="8" s="1"/>
  <c r="AA51" i="17" s="1"/>
  <c r="AA51" i="16" s="1"/>
  <c r="AA61" i="15" s="1"/>
  <c r="AA51" i="14" s="1"/>
  <c r="AA51" i="13" s="1"/>
  <c r="AA61" i="19" s="1"/>
  <c r="AA61" i="18" s="1"/>
  <c r="R56" i="12"/>
  <c r="N36" i="9"/>
  <c r="N46" i="19"/>
  <c r="N36" i="8"/>
  <c r="O56" i="18"/>
  <c r="T16" i="13"/>
  <c r="R36" i="16"/>
  <c r="N46" i="17"/>
  <c r="O16" i="11"/>
  <c r="R16" i="15"/>
  <c r="N16" i="19"/>
  <c r="N26" i="8"/>
  <c r="N16" i="8"/>
  <c r="T46" i="11"/>
  <c r="N26" i="13"/>
  <c r="AC51" i="12"/>
  <c r="AC51" i="11" s="1"/>
  <c r="AC61" i="10" s="1"/>
  <c r="AC51" i="9" s="1"/>
  <c r="AC62" i="8" s="1"/>
  <c r="AC51" i="17" s="1"/>
  <c r="AC51" i="16" s="1"/>
  <c r="AC61" i="15" s="1"/>
  <c r="AC51" i="14" s="1"/>
  <c r="AC51" i="13" s="1"/>
  <c r="AC61" i="19" s="1"/>
  <c r="AC6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66" i="19"/>
  <c r="N36" i="14"/>
  <c r="O16" i="18"/>
  <c r="N36" i="17"/>
  <c r="N36" i="19"/>
  <c r="R26" i="17"/>
  <c r="O26" i="15"/>
  <c r="N36" i="11"/>
  <c r="O16" i="19"/>
  <c r="T16" i="14"/>
  <c r="R36" i="15"/>
  <c r="N66" i="15"/>
  <c r="R56" i="14"/>
  <c r="N26" i="9"/>
  <c r="R46" i="14"/>
  <c r="O46" i="12"/>
  <c r="N56" i="13"/>
  <c r="N46" i="8"/>
  <c r="T36" i="16"/>
  <c r="R26" i="10"/>
  <c r="O56" i="17"/>
  <c r="T16" i="18"/>
  <c r="T26" i="15"/>
  <c r="T36" i="11"/>
  <c r="T36" i="8"/>
  <c r="T16" i="15"/>
  <c r="T36" i="15"/>
  <c r="O26" i="9"/>
  <c r="T56" i="17"/>
  <c r="O56" i="14"/>
  <c r="O46" i="13"/>
  <c r="O16" i="17"/>
  <c r="R26" i="11"/>
  <c r="R65" i="12"/>
  <c r="R2" i="12" s="1"/>
  <c r="R26" i="16"/>
  <c r="R46" i="18"/>
  <c r="M1" i="11"/>
  <c r="R66" i="18"/>
  <c r="R66" i="19"/>
  <c r="N46" i="14"/>
  <c r="T26" i="14"/>
  <c r="O26" i="11"/>
  <c r="O36" i="17"/>
  <c r="O36" i="19"/>
  <c r="N46" i="18"/>
  <c r="R16" i="13"/>
  <c r="T26" i="18"/>
  <c r="N66" i="18"/>
  <c r="O16" i="14"/>
  <c r="T16" i="10"/>
  <c r="N56" i="11"/>
  <c r="O46" i="10"/>
  <c r="T46" i="16"/>
  <c r="T66" i="19"/>
  <c r="O46" i="14"/>
  <c r="T36" i="14"/>
  <c r="N56" i="17"/>
  <c r="O56" i="13"/>
  <c r="T46" i="13"/>
  <c r="O26" i="14"/>
  <c r="N16" i="17"/>
  <c r="O46" i="9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67" i="8"/>
  <c r="N26" i="18"/>
  <c r="O66" i="18"/>
  <c r="O16" i="10"/>
  <c r="R56" i="17"/>
  <c r="N56" i="9"/>
  <c r="N66" i="10"/>
  <c r="N16" i="15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62" i="8" s="1"/>
  <c r="W51" i="17" s="1"/>
  <c r="W51" i="16" s="1"/>
  <c r="W61" i="15" s="1"/>
  <c r="W51" i="14" s="1"/>
  <c r="W51" i="13" s="1"/>
  <c r="W61" i="19" s="1"/>
  <c r="W61" i="18" s="1"/>
  <c r="N56" i="12"/>
  <c r="T16" i="19"/>
  <c r="T66" i="18"/>
  <c r="O26" i="19"/>
  <c r="R46" i="10"/>
  <c r="R66" i="15"/>
  <c r="O26" i="13"/>
  <c r="R26" i="14"/>
  <c r="O46" i="8"/>
  <c r="O56" i="16"/>
  <c r="O16" i="15"/>
  <c r="T67" i="8"/>
  <c r="T26" i="8"/>
  <c r="N26" i="10"/>
  <c r="T56" i="11"/>
  <c r="T46" i="10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O26" i="10"/>
  <c r="R16" i="14"/>
  <c r="N36" i="15"/>
  <c r="O16" i="8"/>
  <c r="O56" i="11"/>
  <c r="O46" i="16"/>
  <c r="T66" i="15"/>
  <c r="N46" i="11"/>
  <c r="N46" i="12"/>
  <c r="T56" i="13"/>
  <c r="T56" i="14"/>
  <c r="R56" i="9"/>
  <c r="T1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62" i="8" s="1"/>
  <c r="X51" i="17" s="1"/>
  <c r="X51" i="16" s="1"/>
  <c r="X61" i="15" s="1"/>
  <c r="X51" i="14" s="1"/>
  <c r="X51" i="13" s="1"/>
  <c r="X61" i="19" s="1"/>
  <c r="X61" i="18" s="1"/>
  <c r="O56" i="12"/>
  <c r="R36" i="9"/>
  <c r="O46" i="18"/>
  <c r="O36" i="13"/>
  <c r="T46" i="19"/>
  <c r="O36" i="8"/>
  <c r="R56" i="18"/>
  <c r="O16" i="13"/>
  <c r="R46" i="17"/>
  <c r="N16" i="11"/>
  <c r="N67" i="8"/>
  <c r="O26" i="18"/>
  <c r="Z12" i="13" l="1"/>
  <c r="Z22" i="13" s="1"/>
  <c r="Z32" i="13" s="1"/>
  <c r="Z42" i="13" s="1"/>
  <c r="Z12" i="19" s="1"/>
  <c r="Z22" i="19" s="1"/>
  <c r="Z32" i="19" s="1"/>
  <c r="Z42" i="19" s="1"/>
  <c r="Z11" i="13"/>
  <c r="Z21" i="13" s="1"/>
  <c r="Z31" i="13" s="1"/>
  <c r="Z41" i="13" s="1"/>
  <c r="Z11" i="19" s="1"/>
  <c r="Z21" i="19" s="1"/>
  <c r="Z31" i="19" s="1"/>
  <c r="Z41" i="19" s="1"/>
  <c r="Z15" i="13"/>
  <c r="Z25" i="13" s="1"/>
  <c r="Z35" i="13" s="1"/>
  <c r="Z45" i="13" s="1"/>
  <c r="Z15" i="19" s="1"/>
  <c r="Z25" i="19" s="1"/>
  <c r="Z35" i="19" s="1"/>
  <c r="Z45" i="19" s="1"/>
  <c r="Z14" i="13"/>
  <c r="Z24" i="13" s="1"/>
  <c r="Z34" i="13" s="1"/>
  <c r="Z44" i="13" s="1"/>
  <c r="Z14" i="19" s="1"/>
  <c r="Z24" i="19" s="1"/>
  <c r="Z34" i="19" s="1"/>
  <c r="Z44" i="19" s="1"/>
  <c r="Y13" i="13"/>
  <c r="Y23" i="13" s="1"/>
  <c r="Y33" i="13" s="1"/>
  <c r="Y43" i="13" s="1"/>
  <c r="Y13" i="19" s="1"/>
  <c r="Y23" i="19" s="1"/>
  <c r="Y33" i="19" s="1"/>
  <c r="Y43" i="19" s="1"/>
  <c r="Y15" i="13"/>
  <c r="Y25" i="13" s="1"/>
  <c r="Y35" i="13" s="1"/>
  <c r="Y45" i="13" s="1"/>
  <c r="Y15" i="19" s="1"/>
  <c r="Y25" i="19" s="1"/>
  <c r="Y35" i="19" s="1"/>
  <c r="Y45" i="19" s="1"/>
  <c r="Z13" i="13"/>
  <c r="Z23" i="13" s="1"/>
  <c r="Z33" i="13" s="1"/>
  <c r="Z43" i="13" s="1"/>
  <c r="Z13" i="19" s="1"/>
  <c r="Z23" i="19" s="1"/>
  <c r="Z33" i="19" s="1"/>
  <c r="Z43" i="19" s="1"/>
  <c r="Y14" i="13"/>
  <c r="Y24" i="13" s="1"/>
  <c r="Y34" i="13" s="1"/>
  <c r="Y44" i="13" s="1"/>
  <c r="Y14" i="19" s="1"/>
  <c r="Y24" i="19" s="1"/>
  <c r="Y34" i="19" s="1"/>
  <c r="Y44" i="19" s="1"/>
  <c r="R1" i="10"/>
  <c r="V13" i="8"/>
  <c r="V23" i="8" s="1"/>
  <c r="V33" i="8" s="1"/>
  <c r="V43" i="8" s="1"/>
  <c r="V23" i="17" s="1"/>
  <c r="V33" i="17" s="1"/>
  <c r="V43" i="17" s="1"/>
  <c r="V13" i="16" s="1"/>
  <c r="V23" i="16" s="1"/>
  <c r="V15" i="8"/>
  <c r="V25" i="8" s="1"/>
  <c r="V35" i="8" s="1"/>
  <c r="V45" i="8" s="1"/>
  <c r="V25" i="17" s="1"/>
  <c r="V35" i="17" s="1"/>
  <c r="V45" i="17" s="1"/>
  <c r="V15" i="16" s="1"/>
  <c r="V25" i="16" s="1"/>
  <c r="R1" i="9"/>
  <c r="V14" i="8"/>
  <c r="V24" i="8" s="1"/>
  <c r="V34" i="8" s="1"/>
  <c r="V44" i="8" s="1"/>
  <c r="V24" i="17" s="1"/>
  <c r="V34" i="17" s="1"/>
  <c r="V44" i="17" s="1"/>
  <c r="V14" i="16" s="1"/>
  <c r="V24" i="16" s="1"/>
  <c r="B64" i="24"/>
  <c r="W63" i="25"/>
  <c r="R1" i="16"/>
  <c r="W35" i="9"/>
  <c r="W45" i="9" s="1"/>
  <c r="W25" i="8" s="1"/>
  <c r="W35" i="8" s="1"/>
  <c r="W45" i="8" s="1"/>
  <c r="W25" i="17" s="1"/>
  <c r="W35" i="17" s="1"/>
  <c r="W45" i="17" s="1"/>
  <c r="W15" i="16" s="1"/>
  <c r="W25" i="16" s="1"/>
  <c r="AA35" i="9"/>
  <c r="AA45" i="9" s="1"/>
  <c r="X34" i="9"/>
  <c r="X44" i="9" s="1"/>
  <c r="X24" i="8" s="1"/>
  <c r="X34" i="8" s="1"/>
  <c r="X44" i="8" s="1"/>
  <c r="X24" i="17" s="1"/>
  <c r="X34" i="17" s="1"/>
  <c r="X44" i="17" s="1"/>
  <c r="X14" i="16" s="1"/>
  <c r="X24" i="16" s="1"/>
  <c r="X33" i="9"/>
  <c r="X43" i="9" s="1"/>
  <c r="X23" i="8" s="1"/>
  <c r="X33" i="8" s="1"/>
  <c r="X43" i="8" s="1"/>
  <c r="X23" i="17" s="1"/>
  <c r="X33" i="17" s="1"/>
  <c r="X43" i="17" s="1"/>
  <c r="X13" i="16" s="1"/>
  <c r="X23" i="16" s="1"/>
  <c r="W33" i="9"/>
  <c r="W43" i="9" s="1"/>
  <c r="W23" i="8" s="1"/>
  <c r="W33" i="8" s="1"/>
  <c r="W43" i="8" s="1"/>
  <c r="W23" i="17" s="1"/>
  <c r="W33" i="17" s="1"/>
  <c r="W43" i="17" s="1"/>
  <c r="W13" i="16" s="1"/>
  <c r="W23" i="16" s="1"/>
  <c r="AC34" i="9"/>
  <c r="AC44" i="9" s="1"/>
  <c r="AC24" i="8" s="1"/>
  <c r="AC34" i="8" s="1"/>
  <c r="AC44" i="8" s="1"/>
  <c r="AC24" i="17" s="1"/>
  <c r="AC34" i="17" s="1"/>
  <c r="AC44" i="17" s="1"/>
  <c r="AC14" i="16" s="1"/>
  <c r="AC24" i="16" s="1"/>
  <c r="AC33" i="9"/>
  <c r="AC43" i="9" s="1"/>
  <c r="AC23" i="8" s="1"/>
  <c r="AC33" i="8" s="1"/>
  <c r="AC43" i="8" s="1"/>
  <c r="AC23" i="17" s="1"/>
  <c r="AC33" i="17" s="1"/>
  <c r="AC43" i="17" s="1"/>
  <c r="AC13" i="16" s="1"/>
  <c r="AC23" i="16" s="1"/>
  <c r="W34" i="9"/>
  <c r="W44" i="9" s="1"/>
  <c r="W24" i="8" s="1"/>
  <c r="W34" i="8" s="1"/>
  <c r="W44" i="8" s="1"/>
  <c r="W24" i="17" s="1"/>
  <c r="W34" i="17" s="1"/>
  <c r="W44" i="17" s="1"/>
  <c r="W14" i="16" s="1"/>
  <c r="W24" i="16" s="1"/>
  <c r="AA34" i="9"/>
  <c r="AA44" i="9" s="1"/>
  <c r="X35" i="9"/>
  <c r="X45" i="9" s="1"/>
  <c r="X25" i="8" s="1"/>
  <c r="X35" i="8" s="1"/>
  <c r="X45" i="8" s="1"/>
  <c r="X25" i="17" s="1"/>
  <c r="X35" i="17" s="1"/>
  <c r="X45" i="17" s="1"/>
  <c r="X15" i="16" s="1"/>
  <c r="X25" i="16" s="1"/>
  <c r="AC35" i="9"/>
  <c r="AC45" i="9" s="1"/>
  <c r="AC25" i="8" s="1"/>
  <c r="AC35" i="8" s="1"/>
  <c r="AC45" i="8" s="1"/>
  <c r="AC25" i="17" s="1"/>
  <c r="AC35" i="17" s="1"/>
  <c r="AC45" i="17" s="1"/>
  <c r="AC15" i="16" s="1"/>
  <c r="AC2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E9" i="39"/>
  <c r="R1" i="11"/>
  <c r="E10" i="39"/>
  <c r="R1" i="13"/>
  <c r="E7" i="39"/>
  <c r="E14" i="39"/>
  <c r="E6" i="39"/>
  <c r="T1" i="13"/>
  <c r="E11" i="39"/>
  <c r="N1" i="11"/>
  <c r="E5" i="39" s="1"/>
  <c r="E15" i="39"/>
  <c r="O1" i="13"/>
  <c r="E12" i="39"/>
  <c r="N1" i="13"/>
  <c r="E13" i="39" s="1"/>
  <c r="E8" i="39"/>
  <c r="O1" i="11"/>
  <c r="T1" i="11"/>
  <c r="Z24" i="18" l="1"/>
  <c r="Z34" i="18" s="1"/>
  <c r="Z44" i="18" s="1"/>
  <c r="Z54" i="18" s="1"/>
  <c r="Z54" i="19"/>
  <c r="Z23" i="18"/>
  <c r="Z33" i="18" s="1"/>
  <c r="Z43" i="18" s="1"/>
  <c r="Z53" i="18" s="1"/>
  <c r="Z53" i="19"/>
  <c r="Z25" i="18"/>
  <c r="Z35" i="18" s="1"/>
  <c r="Z45" i="18" s="1"/>
  <c r="Z55" i="18" s="1"/>
  <c r="Z55" i="19"/>
  <c r="Y24" i="18"/>
  <c r="Y34" i="18" s="1"/>
  <c r="Y44" i="18" s="1"/>
  <c r="Y54" i="18" s="1"/>
  <c r="Y54" i="19"/>
  <c r="Y25" i="18"/>
  <c r="Y35" i="18" s="1"/>
  <c r="Y45" i="18" s="1"/>
  <c r="Y55" i="18" s="1"/>
  <c r="Y55" i="19"/>
  <c r="Z21" i="18"/>
  <c r="Z31" i="18" s="1"/>
  <c r="Z41" i="18" s="1"/>
  <c r="Z51" i="18" s="1"/>
  <c r="Z51" i="19"/>
  <c r="Y23" i="18"/>
  <c r="Y33" i="18" s="1"/>
  <c r="Y43" i="18" s="1"/>
  <c r="Y53" i="18" s="1"/>
  <c r="Y53" i="19"/>
  <c r="Z22" i="18"/>
  <c r="Z32" i="18" s="1"/>
  <c r="Z42" i="18" s="1"/>
  <c r="Z52" i="18" s="1"/>
  <c r="Z52" i="19"/>
  <c r="W34" i="16"/>
  <c r="W44" i="16" s="1"/>
  <c r="X33" i="16"/>
  <c r="X43" i="16" s="1"/>
  <c r="AC35" i="16"/>
  <c r="AC45" i="16" s="1"/>
  <c r="AC33" i="16"/>
  <c r="AC43" i="16" s="1"/>
  <c r="X34" i="16"/>
  <c r="X44" i="16" s="1"/>
  <c r="X35" i="16"/>
  <c r="X45" i="16" s="1"/>
  <c r="AC34" i="16"/>
  <c r="AC44" i="16" s="1"/>
  <c r="W33" i="16"/>
  <c r="W43" i="16" s="1"/>
  <c r="W35" i="16"/>
  <c r="W45" i="16" s="1"/>
  <c r="V34" i="16"/>
  <c r="V44" i="16" s="1"/>
  <c r="V35" i="16"/>
  <c r="V45" i="16" s="1"/>
  <c r="V33" i="16"/>
  <c r="V43" i="16" s="1"/>
  <c r="AA15" i="8"/>
  <c r="AA25" i="8" s="1"/>
  <c r="AA35" i="8" s="1"/>
  <c r="AA45" i="8" s="1"/>
  <c r="AA25" i="17" s="1"/>
  <c r="AA35" i="17" s="1"/>
  <c r="AA45" i="17" s="1"/>
  <c r="AA15" i="16" s="1"/>
  <c r="AA25" i="16" s="1"/>
  <c r="AA14" i="8"/>
  <c r="AA24" i="8" s="1"/>
  <c r="AA34" i="8" s="1"/>
  <c r="AA44" i="8" s="1"/>
  <c r="AA24" i="17" s="1"/>
  <c r="AA34" i="17" s="1"/>
  <c r="AA44" i="17" s="1"/>
  <c r="AA14" i="16" s="1"/>
  <c r="AA24" i="16" s="1"/>
  <c r="AA13" i="8"/>
  <c r="AA23" i="8" s="1"/>
  <c r="AA33" i="8" s="1"/>
  <c r="AA43" i="8" s="1"/>
  <c r="AA23" i="17" s="1"/>
  <c r="AA33" i="17" s="1"/>
  <c r="AA43" i="17" s="1"/>
  <c r="AA13" i="16" s="1"/>
  <c r="AA23" i="16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70" i="15"/>
  <c r="F11" i="39" s="1"/>
  <c r="AD60" i="17"/>
  <c r="F9" i="39" s="1"/>
  <c r="AD60" i="13"/>
  <c r="F13" i="39" s="1"/>
  <c r="AD60" i="16"/>
  <c r="F10" i="39" s="1"/>
  <c r="AD70" i="18"/>
  <c r="F15" i="39" s="1"/>
  <c r="AD60" i="9"/>
  <c r="F7" i="39" s="1"/>
  <c r="AD60" i="11"/>
  <c r="F5" i="39" s="1"/>
  <c r="AD70" i="10"/>
  <c r="F6" i="39" s="1"/>
  <c r="AD70" i="19"/>
  <c r="F14" i="39" s="1"/>
  <c r="AD71" i="8"/>
  <c r="F8" i="39" s="1"/>
  <c r="AD60" i="14"/>
  <c r="F12" i="39" s="1"/>
  <c r="W13" i="15" l="1"/>
  <c r="W23" i="15" s="1"/>
  <c r="W33" i="15" s="1"/>
  <c r="W43" i="15" s="1"/>
  <c r="W53" i="15" s="1"/>
  <c r="X15" i="15"/>
  <c r="X25" i="15" s="1"/>
  <c r="X35" i="15" s="1"/>
  <c r="X45" i="15" s="1"/>
  <c r="X55" i="15" s="1"/>
  <c r="AC13" i="15"/>
  <c r="AC23" i="15" s="1"/>
  <c r="AC33" i="15" s="1"/>
  <c r="AC43" i="15" s="1"/>
  <c r="AC53" i="15" s="1"/>
  <c r="X13" i="15"/>
  <c r="X23" i="15" s="1"/>
  <c r="X33" i="15" s="1"/>
  <c r="X43" i="15" s="1"/>
  <c r="X53" i="15" s="1"/>
  <c r="I8" i="39"/>
  <c r="W15" i="15"/>
  <c r="W25" i="15" s="1"/>
  <c r="W35" i="15" s="1"/>
  <c r="W45" i="15" s="1"/>
  <c r="W55" i="15" s="1"/>
  <c r="AC14" i="15"/>
  <c r="AC24" i="15" s="1"/>
  <c r="AC34" i="15" s="1"/>
  <c r="AC44" i="15" s="1"/>
  <c r="AC54" i="15" s="1"/>
  <c r="X14" i="15"/>
  <c r="X24" i="15" s="1"/>
  <c r="X34" i="15" s="1"/>
  <c r="X44" i="15" s="1"/>
  <c r="X54" i="15" s="1"/>
  <c r="AC15" i="15"/>
  <c r="AC25" i="15" s="1"/>
  <c r="AC35" i="15" s="1"/>
  <c r="AC45" i="15" s="1"/>
  <c r="AC55" i="15" s="1"/>
  <c r="W14" i="15"/>
  <c r="W24" i="15" s="1"/>
  <c r="W34" i="15" s="1"/>
  <c r="W44" i="15" s="1"/>
  <c r="W54" i="15" s="1"/>
  <c r="AA35" i="16"/>
  <c r="AA45" i="16" s="1"/>
  <c r="V15" i="15"/>
  <c r="V25" i="15" s="1"/>
  <c r="V35" i="15" s="1"/>
  <c r="V45" i="15" s="1"/>
  <c r="V55" i="15" s="1"/>
  <c r="AA33" i="16"/>
  <c r="AA43" i="16" s="1"/>
  <c r="AA34" i="16"/>
  <c r="AA44" i="16" s="1"/>
  <c r="V13" i="15"/>
  <c r="V23" i="15" s="1"/>
  <c r="V33" i="15" s="1"/>
  <c r="V43" i="15" s="1"/>
  <c r="V53" i="15" s="1"/>
  <c r="V14" i="15"/>
  <c r="V24" i="15" s="1"/>
  <c r="V34" i="15" s="1"/>
  <c r="V44" i="15" s="1"/>
  <c r="V54" i="15" s="1"/>
  <c r="B66" i="24"/>
  <c r="W65" i="25"/>
  <c r="AC32" i="9"/>
  <c r="AC42" i="9" s="1"/>
  <c r="AC22" i="8" s="1"/>
  <c r="AC32" i="8" s="1"/>
  <c r="AC42" i="8" s="1"/>
  <c r="AC22" i="17" s="1"/>
  <c r="AC32" i="17" s="1"/>
  <c r="AC42" i="17" s="1"/>
  <c r="AC12" i="16" s="1"/>
  <c r="AC2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63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W25" i="14" l="1"/>
  <c r="W35" i="14" s="1"/>
  <c r="W45" i="14" s="1"/>
  <c r="X25" i="14"/>
  <c r="X35" i="14" s="1"/>
  <c r="X45" i="14" s="1"/>
  <c r="V25" i="14"/>
  <c r="V35" i="14" s="1"/>
  <c r="V45" i="14" s="1"/>
  <c r="AC25" i="14"/>
  <c r="AC35" i="14" s="1"/>
  <c r="AC45" i="14" s="1"/>
  <c r="V24" i="14"/>
  <c r="V34" i="14" s="1"/>
  <c r="V44" i="14" s="1"/>
  <c r="X23" i="14"/>
  <c r="X33" i="14" s="1"/>
  <c r="X43" i="14" s="1"/>
  <c r="X24" i="14"/>
  <c r="X34" i="14" s="1"/>
  <c r="X44" i="14" s="1"/>
  <c r="V23" i="14"/>
  <c r="V33" i="14" s="1"/>
  <c r="V43" i="14" s="1"/>
  <c r="AC24" i="14"/>
  <c r="AC34" i="14" s="1"/>
  <c r="AC44" i="14" s="1"/>
  <c r="AC23" i="14"/>
  <c r="AC33" i="14" s="1"/>
  <c r="AC43" i="14" s="1"/>
  <c r="W24" i="14"/>
  <c r="W34" i="14" s="1"/>
  <c r="W44" i="14" s="1"/>
  <c r="W23" i="14"/>
  <c r="W33" i="14" s="1"/>
  <c r="W43" i="14" s="1"/>
  <c r="AC32" i="16"/>
  <c r="AC42" i="16" s="1"/>
  <c r="AC11" i="8"/>
  <c r="AC21" i="8" s="1"/>
  <c r="AC31" i="8" s="1"/>
  <c r="AC41" i="8" s="1"/>
  <c r="AC21" i="17" s="1"/>
  <c r="AC31" i="17" s="1"/>
  <c r="AC41" i="17" s="1"/>
  <c r="AC11" i="16" s="1"/>
  <c r="AC21" i="16" s="1"/>
  <c r="AA14" i="15"/>
  <c r="AA24" i="15" s="1"/>
  <c r="AA34" i="15" s="1"/>
  <c r="AA44" i="15" s="1"/>
  <c r="AA54" i="15" s="1"/>
  <c r="AA13" i="15"/>
  <c r="AA23" i="15" s="1"/>
  <c r="AA33" i="15" s="1"/>
  <c r="AA43" i="15" s="1"/>
  <c r="AA53" i="15" s="1"/>
  <c r="AA15" i="15"/>
  <c r="AA25" i="15" s="1"/>
  <c r="AA35" i="15" s="1"/>
  <c r="AA45" i="15" s="1"/>
  <c r="AA55" i="15" s="1"/>
  <c r="B67" i="24"/>
  <c r="W66" i="25"/>
  <c r="O1" i="12"/>
  <c r="D4" i="39" s="1"/>
  <c r="V52" i="17"/>
  <c r="Y22" i="10"/>
  <c r="X22" i="12"/>
  <c r="Y11" i="10"/>
  <c r="W63" i="8"/>
  <c r="AA63" i="8"/>
  <c r="V22" i="11"/>
  <c r="X63" i="8"/>
  <c r="X21" i="12"/>
  <c r="V21" i="11"/>
  <c r="V13" i="13" l="1"/>
  <c r="V23" i="13" s="1"/>
  <c r="V33" i="13" s="1"/>
  <c r="V43" i="13" s="1"/>
  <c r="V13" i="19" s="1"/>
  <c r="V23" i="19" s="1"/>
  <c r="V33" i="19" s="1"/>
  <c r="V43" i="19" s="1"/>
  <c r="AC15" i="13"/>
  <c r="AC25" i="13" s="1"/>
  <c r="AC35" i="13" s="1"/>
  <c r="AC45" i="13" s="1"/>
  <c r="AC15" i="19" s="1"/>
  <c r="AC25" i="19" s="1"/>
  <c r="AC35" i="19" s="1"/>
  <c r="AC45" i="19" s="1"/>
  <c r="W14" i="13"/>
  <c r="W24" i="13" s="1"/>
  <c r="W34" i="13" s="1"/>
  <c r="W44" i="13" s="1"/>
  <c r="W14" i="19" s="1"/>
  <c r="W24" i="19" s="1"/>
  <c r="W34" i="19" s="1"/>
  <c r="W44" i="19" s="1"/>
  <c r="X14" i="13"/>
  <c r="X24" i="13" s="1"/>
  <c r="X34" i="13" s="1"/>
  <c r="X44" i="13" s="1"/>
  <c r="X14" i="19" s="1"/>
  <c r="X24" i="19" s="1"/>
  <c r="X34" i="19" s="1"/>
  <c r="X44" i="19" s="1"/>
  <c r="V15" i="13"/>
  <c r="V25" i="13" s="1"/>
  <c r="V35" i="13" s="1"/>
  <c r="V45" i="13" s="1"/>
  <c r="V15" i="19" s="1"/>
  <c r="V25" i="19" s="1"/>
  <c r="V35" i="19" s="1"/>
  <c r="V45" i="19" s="1"/>
  <c r="W13" i="13"/>
  <c r="W23" i="13" s="1"/>
  <c r="W33" i="13" s="1"/>
  <c r="W43" i="13" s="1"/>
  <c r="W13" i="19" s="1"/>
  <c r="W23" i="19" s="1"/>
  <c r="W33" i="19" s="1"/>
  <c r="W43" i="19" s="1"/>
  <c r="AC13" i="13"/>
  <c r="AC23" i="13" s="1"/>
  <c r="AC33" i="13" s="1"/>
  <c r="AC43" i="13" s="1"/>
  <c r="AC13" i="19" s="1"/>
  <c r="AC23" i="19" s="1"/>
  <c r="AC33" i="19" s="1"/>
  <c r="AC43" i="19" s="1"/>
  <c r="X13" i="13"/>
  <c r="X23" i="13" s="1"/>
  <c r="X33" i="13" s="1"/>
  <c r="X43" i="13" s="1"/>
  <c r="X13" i="19" s="1"/>
  <c r="X23" i="19" s="1"/>
  <c r="X33" i="19" s="1"/>
  <c r="X43" i="19" s="1"/>
  <c r="X15" i="13"/>
  <c r="X25" i="13" s="1"/>
  <c r="X35" i="13" s="1"/>
  <c r="X45" i="13" s="1"/>
  <c r="X15" i="19" s="1"/>
  <c r="X25" i="19" s="1"/>
  <c r="X35" i="19" s="1"/>
  <c r="X45" i="19" s="1"/>
  <c r="AC14" i="13"/>
  <c r="AC24" i="13" s="1"/>
  <c r="AC34" i="13" s="1"/>
  <c r="AC44" i="13" s="1"/>
  <c r="AC14" i="19" s="1"/>
  <c r="AC24" i="19" s="1"/>
  <c r="AC34" i="19" s="1"/>
  <c r="AC44" i="19" s="1"/>
  <c r="V14" i="13"/>
  <c r="V24" i="13" s="1"/>
  <c r="V34" i="13" s="1"/>
  <c r="V44" i="13" s="1"/>
  <c r="V14" i="19" s="1"/>
  <c r="V24" i="19" s="1"/>
  <c r="V34" i="19" s="1"/>
  <c r="V44" i="19" s="1"/>
  <c r="W15" i="13"/>
  <c r="W25" i="13" s="1"/>
  <c r="W35" i="13" s="1"/>
  <c r="W45" i="13" s="1"/>
  <c r="W15" i="19" s="1"/>
  <c r="W25" i="19" s="1"/>
  <c r="W35" i="19" s="1"/>
  <c r="W45" i="19" s="1"/>
  <c r="AA25" i="14"/>
  <c r="AA35" i="14" s="1"/>
  <c r="AA45" i="14" s="1"/>
  <c r="AA23" i="14"/>
  <c r="AA33" i="14" s="1"/>
  <c r="AA43" i="14" s="1"/>
  <c r="AA24" i="14"/>
  <c r="AA34" i="14" s="1"/>
  <c r="AA44" i="14" s="1"/>
  <c r="AC12" i="15"/>
  <c r="AC22" i="15" s="1"/>
  <c r="AC32" i="15" s="1"/>
  <c r="AC42" i="15" s="1"/>
  <c r="AC52" i="15" s="1"/>
  <c r="AC31" i="16"/>
  <c r="AC41" i="16" s="1"/>
  <c r="B68" i="24"/>
  <c r="W67" i="25"/>
  <c r="AD60" i="12"/>
  <c r="F4" i="39" s="1"/>
  <c r="F16" i="39" s="1"/>
  <c r="D16" i="39"/>
  <c r="V52" i="16"/>
  <c r="X32" i="12"/>
  <c r="Y21" i="10"/>
  <c r="Y32" i="10"/>
  <c r="AA52" i="17"/>
  <c r="X52" i="17"/>
  <c r="V32" i="11"/>
  <c r="W52" i="17"/>
  <c r="X31" i="12"/>
  <c r="V31" i="11"/>
  <c r="W25" i="18" l="1"/>
  <c r="W35" i="18" s="1"/>
  <c r="W45" i="18" s="1"/>
  <c r="W55" i="18" s="1"/>
  <c r="X23" i="18"/>
  <c r="X33" i="18" s="1"/>
  <c r="X43" i="18" s="1"/>
  <c r="X53" i="18" s="1"/>
  <c r="X53" i="19"/>
  <c r="V24" i="18"/>
  <c r="V34" i="18" s="1"/>
  <c r="V44" i="18" s="1"/>
  <c r="V54" i="18" s="1"/>
  <c r="W24" i="18"/>
  <c r="W34" i="18" s="1"/>
  <c r="W44" i="18" s="1"/>
  <c r="W54" i="18" s="1"/>
  <c r="AC24" i="18"/>
  <c r="AC34" i="18" s="1"/>
  <c r="AC44" i="18" s="1"/>
  <c r="AC54" i="18" s="1"/>
  <c r="AC54" i="19"/>
  <c r="W23" i="18"/>
  <c r="W33" i="18" s="1"/>
  <c r="W43" i="18" s="1"/>
  <c r="W53" i="18" s="1"/>
  <c r="AC25" i="18"/>
  <c r="AC35" i="18" s="1"/>
  <c r="AC45" i="18" s="1"/>
  <c r="AC55" i="18" s="1"/>
  <c r="AC55" i="19"/>
  <c r="X24" i="18"/>
  <c r="X34" i="18" s="1"/>
  <c r="X44" i="18" s="1"/>
  <c r="X54" i="18" s="1"/>
  <c r="X54" i="19"/>
  <c r="AC23" i="18"/>
  <c r="AC33" i="18" s="1"/>
  <c r="AC43" i="18" s="1"/>
  <c r="AC53" i="18" s="1"/>
  <c r="AC53" i="19"/>
  <c r="X25" i="18"/>
  <c r="X35" i="18" s="1"/>
  <c r="X45" i="18" s="1"/>
  <c r="X55" i="18" s="1"/>
  <c r="X55" i="19"/>
  <c r="V25" i="18"/>
  <c r="V35" i="18" s="1"/>
  <c r="V45" i="18" s="1"/>
  <c r="V55" i="18" s="1"/>
  <c r="V23" i="18"/>
  <c r="V33" i="18" s="1"/>
  <c r="V43" i="18" s="1"/>
  <c r="V53" i="18" s="1"/>
  <c r="AA14" i="13"/>
  <c r="AA24" i="13" s="1"/>
  <c r="AA34" i="13" s="1"/>
  <c r="AA44" i="13" s="1"/>
  <c r="AA14" i="19" s="1"/>
  <c r="AA24" i="19" s="1"/>
  <c r="AA34" i="19" s="1"/>
  <c r="AA44" i="19" s="1"/>
  <c r="AA13" i="13"/>
  <c r="AA23" i="13" s="1"/>
  <c r="AA33" i="13" s="1"/>
  <c r="AA43" i="13" s="1"/>
  <c r="AA13" i="19" s="1"/>
  <c r="AA23" i="19" s="1"/>
  <c r="AA33" i="19" s="1"/>
  <c r="AA43" i="19" s="1"/>
  <c r="AA15" i="13"/>
  <c r="AA25" i="13" s="1"/>
  <c r="AA35" i="13" s="1"/>
  <c r="AA45" i="13" s="1"/>
  <c r="AA15" i="19" s="1"/>
  <c r="AA25" i="19" s="1"/>
  <c r="AA35" i="19" s="1"/>
  <c r="AA45" i="19" s="1"/>
  <c r="AC22" i="14"/>
  <c r="AC32" i="14" s="1"/>
  <c r="AC42" i="14" s="1"/>
  <c r="AC11" i="15"/>
  <c r="AC21" i="15" s="1"/>
  <c r="AC31" i="15" s="1"/>
  <c r="AC41" i="15" s="1"/>
  <c r="AC51" i="15" s="1"/>
  <c r="B69" i="24"/>
  <c r="W68" i="25"/>
  <c r="G1" i="12"/>
  <c r="AD65" i="12"/>
  <c r="AD65" i="11" s="1"/>
  <c r="AD75" i="10" s="1"/>
  <c r="AD65" i="9" s="1"/>
  <c r="AD76" i="8" s="1"/>
  <c r="AD65" i="17" s="1"/>
  <c r="AD65" i="16" s="1"/>
  <c r="AD75" i="15" s="1"/>
  <c r="AD65" i="14" s="1"/>
  <c r="AD65" i="13" s="1"/>
  <c r="AD75" i="19" s="1"/>
  <c r="AD75" i="18" s="1"/>
  <c r="X42" i="12"/>
  <c r="V62" i="15"/>
  <c r="Y42" i="10"/>
  <c r="Y31" i="10"/>
  <c r="V42" i="11"/>
  <c r="X52" i="16"/>
  <c r="W52" i="16"/>
  <c r="AA52" i="16"/>
  <c r="X41" i="12"/>
  <c r="V41" i="11"/>
  <c r="AA25" i="18" l="1"/>
  <c r="AA35" i="18" s="1"/>
  <c r="AA45" i="18" s="1"/>
  <c r="AA55" i="18" s="1"/>
  <c r="AA55" i="19"/>
  <c r="AA23" i="18"/>
  <c r="AA33" i="18" s="1"/>
  <c r="AA43" i="18" s="1"/>
  <c r="AA53" i="18" s="1"/>
  <c r="AA53" i="19"/>
  <c r="AA24" i="18"/>
  <c r="AA34" i="18" s="1"/>
  <c r="AA44" i="18" s="1"/>
  <c r="AA54" i="18" s="1"/>
  <c r="AA54" i="19"/>
  <c r="AC12" i="13"/>
  <c r="AC22" i="13" s="1"/>
  <c r="AC32" i="13" s="1"/>
  <c r="AC42" i="13" s="1"/>
  <c r="AC12" i="19" s="1"/>
  <c r="AC22" i="19" s="1"/>
  <c r="AC32" i="19" s="1"/>
  <c r="AC42" i="19" s="1"/>
  <c r="AC21" i="14"/>
  <c r="AC31" i="14" s="1"/>
  <c r="AC41" i="14" s="1"/>
  <c r="B70" i="24"/>
  <c r="W69" i="25"/>
  <c r="X12" i="11"/>
  <c r="X22" i="11" s="1"/>
  <c r="V52" i="14"/>
  <c r="Y41" i="10"/>
  <c r="W62" i="15"/>
  <c r="X62" i="15"/>
  <c r="V12" i="10"/>
  <c r="AA62" i="15"/>
  <c r="X11" i="11"/>
  <c r="V11" i="10"/>
  <c r="AC22" i="18" l="1"/>
  <c r="AC32" i="18" s="1"/>
  <c r="AC42" i="18" s="1"/>
  <c r="AC52" i="18" s="1"/>
  <c r="AC52" i="19"/>
  <c r="AC21" i="13"/>
  <c r="AC31" i="13" s="1"/>
  <c r="AC41" i="13" s="1"/>
  <c r="AC11" i="19" s="1"/>
  <c r="AC21" i="19" s="1"/>
  <c r="AC31" i="19" s="1"/>
  <c r="AC41" i="19" s="1"/>
  <c r="AC11" i="13"/>
  <c r="B71" i="24"/>
  <c r="W70" i="25"/>
  <c r="V52" i="13"/>
  <c r="X32" i="11"/>
  <c r="V22" i="10"/>
  <c r="X52" i="14"/>
  <c r="AA52" i="14"/>
  <c r="W52" i="14"/>
  <c r="X21" i="11"/>
  <c r="V21" i="10"/>
  <c r="AC21" i="18" l="1"/>
  <c r="AC31" i="18" s="1"/>
  <c r="AC41" i="18" s="1"/>
  <c r="AC51" i="18" s="1"/>
  <c r="AC51" i="19"/>
  <c r="B72" i="24"/>
  <c r="W71" i="25"/>
  <c r="V62" i="19"/>
  <c r="Y32" i="9"/>
  <c r="X42" i="11"/>
  <c r="X52" i="13"/>
  <c r="W52" i="13"/>
  <c r="V32" i="10"/>
  <c r="AA52" i="13"/>
  <c r="X31" i="11"/>
  <c r="V31" i="10"/>
  <c r="B73" i="24" l="1"/>
  <c r="W72" i="25"/>
  <c r="V62" i="18"/>
  <c r="Y42" i="9"/>
  <c r="Y31" i="9"/>
  <c r="X12" i="10"/>
  <c r="V42" i="10"/>
  <c r="V52" i="10" s="1"/>
  <c r="V12" i="9" s="1"/>
  <c r="V22" i="9" s="1"/>
  <c r="W62" i="19"/>
  <c r="AA62" i="19"/>
  <c r="X62" i="19"/>
  <c r="X41" i="11"/>
  <c r="V41" i="10"/>
  <c r="V51" i="10" s="1"/>
  <c r="V11" i="9" s="1"/>
  <c r="V21" i="9" s="1"/>
  <c r="B74" i="24" l="1"/>
  <c r="W73" i="25"/>
  <c r="Y41" i="9"/>
  <c r="X22" i="10"/>
  <c r="AA62" i="18"/>
  <c r="W62" i="18"/>
  <c r="X6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41" i="8"/>
  <c r="X32" i="9"/>
  <c r="B80" i="24" l="1"/>
  <c r="W79" i="25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Y12" i="16" s="1"/>
  <c r="Y22" i="16" s="1"/>
  <c r="V42" i="8"/>
  <c r="W82" i="25" l="1"/>
  <c r="B83" i="24"/>
  <c r="Y41" i="17"/>
  <c r="Y11" i="16" s="1"/>
  <c r="Y21" i="16" s="1"/>
  <c r="X22" i="8"/>
  <c r="W83" i="25" l="1"/>
  <c r="B84" i="24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V42" i="17"/>
  <c r="V12" i="16" s="1"/>
  <c r="V22" i="16" s="1"/>
  <c r="X41" i="8"/>
  <c r="V41" i="17"/>
  <c r="V11" i="16" s="1"/>
  <c r="V21" i="16" s="1"/>
  <c r="W86" i="25" l="1"/>
  <c r="B87" i="24"/>
  <c r="M59" i="10" s="1"/>
  <c r="Y41" i="16"/>
  <c r="Y11" i="15" s="1"/>
  <c r="X22" i="17"/>
  <c r="R12" i="12"/>
  <c r="W12" i="12"/>
  <c r="R11" i="12"/>
  <c r="N16" i="12"/>
  <c r="W11" i="12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X12" i="16" s="1"/>
  <c r="X22" i="16" s="1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W42" i="12"/>
  <c r="V42" i="16"/>
  <c r="V12" i="15" s="1"/>
  <c r="X41" i="17"/>
  <c r="X11" i="16" s="1"/>
  <c r="X21" i="16" s="1"/>
  <c r="AA31" i="12"/>
  <c r="W41" i="12"/>
  <c r="V41" i="16"/>
  <c r="V11" i="15" s="1"/>
  <c r="W90" i="25" l="1"/>
  <c r="B91" i="24"/>
  <c r="M9" i="9" s="1"/>
  <c r="K19" i="9" s="1"/>
  <c r="I16" i="39"/>
  <c r="Y42" i="15"/>
  <c r="Y52" i="15" s="1"/>
  <c r="Y31" i="15"/>
  <c r="W12" i="11"/>
  <c r="AA42" i="12"/>
  <c r="W11" i="11"/>
  <c r="AA41" i="12"/>
  <c r="B92" i="24" l="1"/>
  <c r="W91" i="25"/>
  <c r="Y41" i="15"/>
  <c r="Y51" i="15" s="1"/>
  <c r="AA12" i="11"/>
  <c r="X32" i="16"/>
  <c r="W22" i="11"/>
  <c r="AA11" i="11"/>
  <c r="W21" i="11"/>
  <c r="B93" i="24" l="1"/>
  <c r="W92" i="25"/>
  <c r="Y22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12" i="13" s="1"/>
  <c r="Y31" i="14"/>
  <c r="W12" i="10"/>
  <c r="AA42" i="11"/>
  <c r="V42" i="15"/>
  <c r="V52" i="15" s="1"/>
  <c r="AA41" i="11"/>
  <c r="W11" i="10"/>
  <c r="V41" i="15"/>
  <c r="V51" i="15" s="1"/>
  <c r="B96" i="24" l="1"/>
  <c r="W95" i="25"/>
  <c r="Y41" i="14"/>
  <c r="Y11" i="13" s="1"/>
  <c r="X22" i="15"/>
  <c r="W22" i="10"/>
  <c r="AA12" i="10"/>
  <c r="W21" i="10"/>
  <c r="AA11" i="10"/>
  <c r="B97" i="24" l="1"/>
  <c r="W96" i="25"/>
  <c r="W32" i="10"/>
  <c r="AA22" i="10"/>
  <c r="X32" i="15"/>
  <c r="V22" i="14"/>
  <c r="AA21" i="10"/>
  <c r="X21" i="15"/>
  <c r="W31" i="10"/>
  <c r="V21" i="14"/>
  <c r="B98" i="24" l="1"/>
  <c r="W97" i="25"/>
  <c r="Y22" i="13"/>
  <c r="X42" i="15"/>
  <c r="X52" i="15" s="1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V42" i="14"/>
  <c r="V12" i="13" s="1"/>
  <c r="AA41" i="10"/>
  <c r="AA51" i="10" s="1"/>
  <c r="AA11" i="9" s="1"/>
  <c r="AA21" i="9" s="1"/>
  <c r="X41" i="15"/>
  <c r="X51" i="15" s="1"/>
  <c r="V41" i="14"/>
  <c r="V11" i="13" s="1"/>
  <c r="B100" i="24" l="1"/>
  <c r="W99" i="25"/>
  <c r="Y31" i="13"/>
  <c r="Y42" i="13"/>
  <c r="X22" i="14"/>
  <c r="M16" i="40"/>
  <c r="B101" i="24" l="1"/>
  <c r="W100" i="25"/>
  <c r="Y41" i="13"/>
  <c r="Y12" i="19"/>
  <c r="W32" i="9"/>
  <c r="X32" i="14"/>
  <c r="X21" i="14"/>
  <c r="W31" i="9"/>
  <c r="B102" i="24" l="1"/>
  <c r="W101" i="25"/>
  <c r="Y22" i="19"/>
  <c r="Y11" i="19"/>
  <c r="X42" i="14"/>
  <c r="X12" i="13" s="1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V32" i="13"/>
  <c r="AA41" i="9"/>
  <c r="AA11" i="8" s="1"/>
  <c r="X41" i="14"/>
  <c r="X11" i="13" s="1"/>
  <c r="V31" i="13"/>
  <c r="W103" i="25" l="1"/>
  <c r="B104" i="24"/>
  <c r="Y42" i="19"/>
  <c r="Y52" i="19" s="1"/>
  <c r="Y31" i="19"/>
  <c r="V42" i="13"/>
  <c r="V41" i="13"/>
  <c r="W104" i="25" l="1"/>
  <c r="B105" i="24"/>
  <c r="Y41" i="19"/>
  <c r="Y51" i="19" s="1"/>
  <c r="W22" i="8"/>
  <c r="X22" i="13"/>
  <c r="V12" i="19"/>
  <c r="W21" i="8"/>
  <c r="V11" i="19"/>
  <c r="W105" i="25" l="1"/>
  <c r="B106" i="24"/>
  <c r="Y22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AA42" i="8"/>
  <c r="V42" i="19"/>
  <c r="AA41" i="8"/>
  <c r="X41" i="13"/>
  <c r="V41" i="19"/>
  <c r="B109" i="24" l="1"/>
  <c r="W108" i="25"/>
  <c r="Y41" i="18"/>
  <c r="Y52" i="18"/>
  <c r="W22" i="17"/>
  <c r="X22" i="19"/>
  <c r="X11" i="19"/>
  <c r="W21" i="17"/>
  <c r="B110" i="24" l="1"/>
  <c r="W109" i="25"/>
  <c r="Y51" i="18"/>
  <c r="X32" i="19"/>
  <c r="W32" i="17"/>
  <c r="AA22" i="17"/>
  <c r="V22" i="18"/>
  <c r="W31" i="17"/>
  <c r="AA21" i="17"/>
  <c r="X21" i="19"/>
  <c r="V21" i="18"/>
  <c r="W110" i="25" l="1"/>
  <c r="B111" i="24"/>
  <c r="AA32" i="17"/>
  <c r="W42" i="17"/>
  <c r="W12" i="16" s="1"/>
  <c r="W22" i="16" s="1"/>
  <c r="X42" i="19"/>
  <c r="X52" i="19" s="1"/>
  <c r="V32" i="18"/>
  <c r="AA31" i="17"/>
  <c r="X31" i="19"/>
  <c r="W41" i="17"/>
  <c r="W11" i="16" s="1"/>
  <c r="W21" i="16" s="1"/>
  <c r="V31" i="18"/>
  <c r="B112" i="24" l="1"/>
  <c r="W111" i="25"/>
  <c r="AA42" i="17"/>
  <c r="AA12" i="16" s="1"/>
  <c r="AA22" i="16" s="1"/>
  <c r="V42" i="18"/>
  <c r="X41" i="19"/>
  <c r="X51" i="19" s="1"/>
  <c r="AA41" i="17"/>
  <c r="AA11" i="16" s="1"/>
  <c r="AA21" i="16" s="1"/>
  <c r="V41" i="18"/>
  <c r="W112" i="25" l="1"/>
  <c r="B113" i="24"/>
  <c r="X22" i="18"/>
  <c r="V52" i="18"/>
  <c r="V51" i="18"/>
  <c r="B114" i="24" l="1"/>
  <c r="W113" i="25"/>
  <c r="W32" i="16"/>
  <c r="X32" i="18"/>
  <c r="X21" i="18"/>
  <c r="W31" i="16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51" i="18"/>
  <c r="W117" i="25" l="1"/>
  <c r="B118" i="24"/>
  <c r="M49" i="9" s="1"/>
  <c r="W22" i="15"/>
  <c r="W21" i="15"/>
  <c r="W118" i="25" l="1"/>
  <c r="B119" i="24"/>
  <c r="B7" i="39"/>
  <c r="AA22" i="15"/>
  <c r="W32" i="15"/>
  <c r="W31" i="15"/>
  <c r="AA21" i="15"/>
  <c r="K60" i="8" l="1"/>
  <c r="M9" i="8"/>
  <c r="K19" i="8" s="1"/>
  <c r="M19" i="8" s="1"/>
  <c r="K29" i="8" s="1"/>
  <c r="M29" i="8" s="1"/>
  <c r="K39" i="8" s="1"/>
  <c r="M39" i="8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W52" i="15" s="1"/>
  <c r="AA32" i="15"/>
  <c r="AA31" i="15"/>
  <c r="W41" i="15"/>
  <c r="W51" i="15" s="1"/>
  <c r="B121" i="24" l="1"/>
  <c r="W120" i="25"/>
  <c r="AA42" i="15"/>
  <c r="AA52" i="15" s="1"/>
  <c r="AA41" i="15"/>
  <c r="AA51" i="15" s="1"/>
  <c r="W121" i="25" l="1"/>
  <c r="B122" i="24"/>
  <c r="W22" i="14"/>
  <c r="W21" i="14"/>
  <c r="B123" i="24" l="1"/>
  <c r="W122" i="25"/>
  <c r="AA22" i="14"/>
  <c r="W32" i="14"/>
  <c r="W31" i="14"/>
  <c r="AA21" i="14"/>
  <c r="W123" i="25" l="1"/>
  <c r="B124" i="24"/>
  <c r="W42" i="14"/>
  <c r="W12" i="13" s="1"/>
  <c r="AA32" i="14"/>
  <c r="AA31" i="14"/>
  <c r="W41" i="14"/>
  <c r="W11" i="13" s="1"/>
  <c r="B125" i="24" l="1"/>
  <c r="W124" i="25"/>
  <c r="AA42" i="14"/>
  <c r="AA12" i="13" s="1"/>
  <c r="AA41" i="14"/>
  <c r="AA11" i="13" s="1"/>
  <c r="W125" i="25" l="1"/>
  <c r="B126" i="24"/>
  <c r="W126" i="25" l="1"/>
  <c r="B127" i="24"/>
  <c r="W22" i="13"/>
  <c r="W2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AA42" i="19"/>
  <c r="AA52" i="19" s="1"/>
  <c r="AA41" i="19"/>
  <c r="AA51" i="19" s="1"/>
  <c r="W134" i="25" l="1"/>
  <c r="B135" i="24"/>
  <c r="W22" i="18"/>
  <c r="W2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AA52" i="18"/>
  <c r="AA51" i="18"/>
  <c r="W139" i="25" l="1"/>
  <c r="B140" i="24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60" i="8" s="1"/>
  <c r="W149" i="25" l="1"/>
  <c r="B150" i="24"/>
  <c r="K4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W174" i="25"/>
  <c r="B176" i="24" l="1"/>
  <c r="W175" i="25"/>
  <c r="B177" i="24" l="1"/>
  <c r="W176" i="25"/>
  <c r="B178" i="24" l="1"/>
  <c r="W177" i="25"/>
  <c r="B179" i="24" l="1"/>
  <c r="M49" i="17" s="1"/>
  <c r="W178" i="25"/>
  <c r="W179" i="25" l="1"/>
  <c r="B9" i="39"/>
  <c r="B180" i="24"/>
  <c r="K49" i="16" s="1"/>
  <c r="B181" i="24" l="1"/>
  <c r="W180" i="25"/>
  <c r="W181" i="25" l="1"/>
  <c r="B182" i="24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W210" i="25"/>
  <c r="B211" i="24"/>
  <c r="B10" i="39"/>
  <c r="K59" i="15" l="1"/>
  <c r="W211" i="25"/>
  <c r="B212" i="24"/>
  <c r="M9" i="15" l="1"/>
  <c r="K19" i="15" s="1"/>
  <c r="M19" i="15" s="1"/>
  <c r="K29" i="15" s="1"/>
  <c r="M29" i="15" s="1"/>
  <c r="K39" i="15" s="1"/>
  <c r="M39" i="15" s="1"/>
  <c r="B213" i="24"/>
  <c r="W212" i="25"/>
  <c r="M9" i="14" l="1"/>
  <c r="K19" i="14" s="1"/>
  <c r="M19" i="14" s="1"/>
  <c r="K29" i="14" s="1"/>
  <c r="M29" i="14" s="1"/>
  <c r="K39" i="14" s="1"/>
  <c r="M39" i="14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49" i="15"/>
  <c r="M49" i="15" s="1"/>
  <c r="B214" i="24"/>
  <c r="W213" i="25"/>
  <c r="M9" i="18" l="1"/>
  <c r="K19" i="18" s="1"/>
  <c r="M19" i="18" s="1"/>
  <c r="K29" i="18" s="1"/>
  <c r="M29" i="18" s="1"/>
  <c r="K39" i="18" s="1"/>
  <c r="M39" i="18" s="1"/>
  <c r="K49" i="18" s="1"/>
  <c r="M49" i="18" s="1"/>
  <c r="M49" i="19"/>
  <c r="B215" i="24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59" i="15" s="1"/>
  <c r="W239" i="25"/>
  <c r="W240" i="25" l="1"/>
  <c r="B241" i="24"/>
  <c r="K4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4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5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59" i="19" s="1"/>
  <c r="W329" i="25"/>
  <c r="W330" i="25" l="1"/>
  <c r="B331" i="24"/>
  <c r="K5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5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N1" i="24" l="1"/>
</calcChain>
</file>

<file path=xl/sharedStrings.xml><?xml version="1.0" encoding="utf-8"?>
<sst xmlns="http://schemas.openxmlformats.org/spreadsheetml/2006/main" count="1382" uniqueCount="137">
  <si>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</si>
  <si>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</si>
  <si>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</si>
  <si>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</si>
  <si>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</si>
  <si>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</si>
  <si>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</si>
  <si>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</si>
  <si>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</si>
  <si>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</si>
  <si>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</si>
  <si>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</si>
  <si>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</si>
  <si>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</si>
  <si>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</si>
  <si>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</si>
  <si>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</si>
  <si>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</si>
  <si>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</si>
  <si>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</si>
  <si>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</si>
  <si>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</si>
  <si>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</si>
  <si>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</si>
  <si>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</si>
  <si>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</si>
  <si>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</si>
  <si>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</si>
  <si>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</si>
  <si>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</si>
  <si>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</si>
  <si>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</si>
  <si>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</si>
  <si>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</si>
  <si>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</si>
  <si>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</si>
  <si>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</si>
  <si>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</si>
  <si>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</si>
  <si>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</si>
  <si>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</si>
  <si>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</si>
  <si>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</si>
  <si>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</si>
  <si>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</si>
  <si>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</si>
  <si>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</si>
  <si>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</si>
  <si>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</si>
  <si>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</si>
  <si>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</si>
  <si>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</si>
  <si>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</si>
  <si>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</si>
  <si>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</si>
  <si>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</si>
  <si>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</si>
  <si>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</si>
  <si>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</si>
  <si>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</si>
  <si>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</si>
  <si>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</si>
  <si>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</si>
  <si>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</si>
  <si>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</si>
  <si>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</si>
  <si>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</si>
  <si>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</si>
  <si>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</si>
  <si>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</si>
  <si>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</si>
  <si>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</si>
  <si>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</si>
  <si>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</si>
  <si>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</si>
  <si>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</si>
  <si>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</si>
  <si>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</si>
  <si>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</si>
  <si>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</si>
  <si>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</si>
  <si>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</si>
  <si>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</si>
  <si>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</si>
  <si>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</si>
  <si>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</si>
  <si>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</si>
  <si>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</si>
  <si>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</si>
  <si>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</si>
  <si>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</si>
  <si>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</si>
  <si>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</si>
  <si>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</si>
  <si>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</si>
  <si>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</si>
  <si>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</si>
  <si>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</si>
  <si>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</si>
  <si>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</si>
  <si>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</si>
  <si>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</si>
  <si>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</si>
  <si>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</si>
  <si>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</si>
  <si>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</si>
  <si>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</si>
  <si>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</si>
  <si>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</si>
  <si>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</si>
  <si>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</si>
  <si>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</si>
  <si>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</si>
  <si>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</si>
  <si>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</si>
  <si>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</si>
  <si>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</si>
  <si>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</si>
  <si>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</si>
  <si>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</si>
  <si>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</si>
  <si>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</si>
  <si>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</si>
  <si>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</si>
  <si>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</si>
  <si>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</si>
  <si>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</si>
  <si>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</si>
  <si>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</si>
  <si>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</si>
  <si>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</si>
  <si>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</si>
  <si>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</si>
  <si>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</si>
  <si>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</si>
  <si>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</si>
  <si>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(Apr23, May23,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</si>
</sst>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40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3" fillId="3" borderId="0" xfId="0" applyFont="1" applyFill="1"/>
    <xf numFmtId="0" fontId="34" fillId="3" borderId="0" xfId="0" applyFont="1" applyFill="1"/>
    <xf numFmtId="0" fontId="35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7" fillId="2" borderId="31" xfId="0" applyFont="1" applyFill="1" applyBorder="1" applyAlignment="1">
      <alignment horizontal="center" vertical="center"/>
    </xf>
    <xf numFmtId="15" fontId="37" fillId="2" borderId="32" xfId="0" applyNumberFormat="1" applyFont="1" applyFill="1" applyBorder="1" applyAlignment="1">
      <alignment horizontal="right" vertical="center"/>
    </xf>
    <xf numFmtId="15" fontId="37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7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1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2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3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2" xfId="2" applyFont="1" applyFill="1" applyBorder="1"/>
    <xf numFmtId="0" fontId="7" fillId="2" borderId="0" xfId="2" applyFont="1" applyFill="1"/>
    <xf numFmtId="0" fontId="7" fillId="2" borderId="53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0" fillId="6" borderId="56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 wrapText="1"/>
      <protection hidden="1"/>
    </xf>
    <xf numFmtId="0" fontId="40" fillId="3" borderId="0" xfId="0" applyFont="1" applyFill="1" applyAlignment="1" applyProtection="1">
      <alignment horizontal="center" vertical="center" wrapText="1"/>
      <protection hidden="1"/>
    </xf>
    <xf numFmtId="0" fontId="40" fillId="6" borderId="55" xfId="0" applyFont="1" applyFill="1" applyBorder="1" applyAlignment="1" applyProtection="1">
      <alignment horizontal="center" vertical="center" wrapText="1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Protection="1">
      <protection hidden="1"/>
    </xf>
    <xf numFmtId="0" fontId="39" fillId="0" borderId="0" xfId="0" applyFont="1"/>
    <xf numFmtId="0" fontId="40" fillId="3" borderId="12" xfId="0" applyFont="1" applyFill="1" applyBorder="1" applyProtection="1">
      <protection hidden="1"/>
    </xf>
    <xf numFmtId="0" fontId="40" fillId="3" borderId="18" xfId="0" applyFont="1" applyFill="1" applyBorder="1" applyProtection="1">
      <protection hidden="1"/>
    </xf>
    <xf numFmtId="0" fontId="40" fillId="3" borderId="8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0" fontId="40" fillId="3" borderId="19" xfId="0" applyFont="1" applyFill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15" fontId="40" fillId="3" borderId="0" xfId="0" applyNumberFormat="1" applyFont="1" applyFill="1" applyAlignment="1" applyProtection="1">
      <alignment horizontal="center" vertical="center" wrapText="1"/>
      <protection hidden="1"/>
    </xf>
    <xf numFmtId="165" fontId="40" fillId="6" borderId="0" xfId="0" applyNumberFormat="1" applyFont="1" applyFill="1" applyAlignment="1" applyProtection="1">
      <alignment horizontal="center" vertical="center"/>
      <protection hidden="1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wrapText="1"/>
      <protection hidden="1"/>
    </xf>
    <xf numFmtId="0" fontId="42" fillId="3" borderId="8" xfId="0" applyFont="1" applyFill="1" applyBorder="1" applyProtection="1">
      <protection hidden="1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167" fontId="40" fillId="3" borderId="56" xfId="0" applyNumberFormat="1" applyFont="1" applyFill="1" applyBorder="1" applyAlignment="1" applyProtection="1">
      <alignment horizontal="center" vertical="center"/>
      <protection hidden="1"/>
    </xf>
    <xf numFmtId="167" fontId="40" fillId="3" borderId="1" xfId="0" applyNumberFormat="1" applyFont="1" applyFill="1" applyBorder="1" applyAlignment="1" applyProtection="1">
      <alignment horizontal="center" vertical="center"/>
      <protection hidden="1"/>
    </xf>
    <xf numFmtId="167" fontId="40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0" fontId="42" fillId="3" borderId="19" xfId="0" applyFont="1" applyFill="1" applyBorder="1" applyProtection="1">
      <protection hidden="1"/>
    </xf>
    <xf numFmtId="164" fontId="42" fillId="0" borderId="0" xfId="0" applyNumberFormat="1" applyFont="1" applyProtection="1">
      <protection hidden="1"/>
    </xf>
    <xf numFmtId="164" fontId="40" fillId="3" borderId="0" xfId="0" applyNumberFormat="1" applyFont="1" applyFill="1" applyAlignment="1" applyProtection="1">
      <alignment horizontal="center" vertical="center"/>
      <protection hidden="1"/>
    </xf>
    <xf numFmtId="164" fontId="40" fillId="0" borderId="0" xfId="0" applyNumberFormat="1" applyFont="1" applyProtection="1">
      <protection hidden="1"/>
    </xf>
    <xf numFmtId="164" fontId="40" fillId="3" borderId="54" xfId="0" applyNumberFormat="1" applyFont="1" applyFill="1" applyBorder="1" applyAlignment="1" applyProtection="1">
      <alignment horizontal="center" vertical="center"/>
      <protection hidden="1"/>
    </xf>
    <xf numFmtId="14" fontId="40" fillId="3" borderId="0" xfId="0" applyNumberFormat="1" applyFont="1" applyFill="1" applyAlignment="1" applyProtection="1">
      <alignment horizontal="center" vertical="center"/>
      <protection hidden="1"/>
    </xf>
    <xf numFmtId="0" fontId="40" fillId="3" borderId="14" xfId="0" applyFont="1" applyFill="1" applyBorder="1" applyProtection="1">
      <protection hidden="1"/>
    </xf>
    <xf numFmtId="0" fontId="50" fillId="3" borderId="15" xfId="0" applyFont="1" applyFill="1" applyBorder="1" applyAlignment="1" applyProtection="1">
      <alignment horizontal="center" vertical="center"/>
      <protection hidden="1"/>
    </xf>
    <xf numFmtId="0" fontId="40" fillId="3" borderId="15" xfId="0" applyFont="1" applyFill="1" applyBorder="1" applyAlignment="1" applyProtection="1">
      <alignment horizontal="center" vertical="center"/>
      <protection hidden="1"/>
    </xf>
    <xf numFmtId="0" fontId="40" fillId="3" borderId="20" xfId="0" applyFont="1" applyFill="1" applyBorder="1" applyProtection="1">
      <protection hidden="1"/>
    </xf>
    <xf numFmtId="0" fontId="40" fillId="3" borderId="0" xfId="0" applyFont="1" applyFill="1" applyProtection="1">
      <protection hidden="1"/>
    </xf>
    <xf numFmtId="0" fontId="49" fillId="3" borderId="15" xfId="1" applyFont="1" applyFill="1" applyBorder="1" applyAlignment="1" applyProtection="1">
      <alignment vertical="center"/>
      <protection hidden="1"/>
    </xf>
    <xf numFmtId="0" fontId="47" fillId="3" borderId="13" xfId="0" applyFont="1" applyFill="1" applyBorder="1" applyAlignment="1" applyProtection="1">
      <alignment horizontal="center" vertical="center"/>
      <protection hidden="1"/>
    </xf>
    <xf numFmtId="0" fontId="47" fillId="3" borderId="18" xfId="0" applyFont="1" applyFill="1" applyBorder="1" applyAlignment="1" applyProtection="1">
      <alignment horizontal="center" vertical="center"/>
      <protection hidden="1"/>
    </xf>
    <xf numFmtId="0" fontId="47" fillId="3" borderId="15" xfId="0" applyFont="1" applyFill="1" applyBorder="1" applyAlignment="1" applyProtection="1">
      <alignment horizontal="center" vertical="center"/>
      <protection hidden="1"/>
    </xf>
    <xf numFmtId="0" fontId="47" fillId="3" borderId="20" xfId="0" applyFont="1" applyFill="1" applyBorder="1" applyAlignment="1" applyProtection="1">
      <alignment horizontal="center" vertical="center"/>
      <protection hidden="1"/>
    </xf>
    <xf numFmtId="0" fontId="47" fillId="3" borderId="14" xfId="0" applyFont="1" applyFill="1" applyBorder="1" applyAlignment="1" applyProtection="1">
      <alignment horizontal="center" vertical="center"/>
      <protection hidden="1"/>
    </xf>
    <xf numFmtId="0" fontId="47" fillId="3" borderId="12" xfId="0" applyFont="1" applyFill="1" applyBorder="1" applyAlignment="1" applyProtection="1">
      <alignment horizontal="center" vertical="center"/>
      <protection hidden="1"/>
    </xf>
    <xf numFmtId="0" fontId="47" fillId="3" borderId="8" xfId="0" applyFont="1" applyFill="1" applyBorder="1" applyAlignment="1" applyProtection="1">
      <alignment horizontal="left" vertical="center"/>
      <protection hidden="1"/>
    </xf>
    <xf numFmtId="0" fontId="47" fillId="3" borderId="19" xfId="0" applyFont="1" applyFill="1" applyBorder="1" applyAlignment="1" applyProtection="1">
      <alignment horizontal="center" vertical="center"/>
      <protection hidden="1"/>
    </xf>
    <xf numFmtId="0" fontId="52" fillId="3" borderId="19" xfId="0" applyFont="1" applyFill="1" applyBorder="1" applyAlignment="1" applyProtection="1">
      <alignment horizontal="center" vertical="center"/>
      <protection hidden="1"/>
    </xf>
    <xf numFmtId="0" fontId="53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7" fillId="3" borderId="0" xfId="0" applyNumberFormat="1" applyFont="1" applyFill="1" applyAlignment="1">
      <alignment horizontal="center" wrapText="1"/>
    </xf>
    <xf numFmtId="15" fontId="37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8" fillId="0" borderId="34" xfId="0" applyFont="1" applyBorder="1" applyAlignment="1">
      <alignment horizontal="center" vertical="center"/>
    </xf>
    <xf numFmtId="0" fontId="37" fillId="0" borderId="0" xfId="0" applyFont="1"/>
    <xf numFmtId="14" fontId="37" fillId="3" borderId="0" xfId="0" applyNumberFormat="1" applyFont="1" applyFill="1"/>
    <xf numFmtId="15" fontId="37" fillId="5" borderId="1" xfId="0" applyNumberFormat="1" applyFont="1" applyFill="1" applyBorder="1" applyAlignment="1">
      <alignment horizontal="center"/>
    </xf>
    <xf numFmtId="1" fontId="37" fillId="5" borderId="1" xfId="0" applyNumberFormat="1" applyFont="1" applyFill="1" applyBorder="1" applyAlignment="1">
      <alignment horizontal="center"/>
    </xf>
    <xf numFmtId="1" fontId="37" fillId="3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7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3" fillId="3" borderId="7" xfId="0" applyFont="1" applyFill="1" applyBorder="1"/>
    <xf numFmtId="0" fontId="7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2" fontId="7" fillId="3" borderId="0" xfId="0" applyNumberFormat="1" applyFont="1" applyFill="1"/>
    <xf numFmtId="164" fontId="7" fillId="2" borderId="0" xfId="0" applyNumberFormat="1" applyFont="1" applyFill="1"/>
    <xf numFmtId="164" fontId="3" fillId="3" borderId="7" xfId="0" applyNumberFormat="1" applyFont="1" applyFill="1" applyBorder="1"/>
    <xf numFmtId="0" fontId="3" fillId="5" borderId="7" xfId="0" applyFont="1" applyFill="1" applyBorder="1"/>
    <xf numFmtId="2" fontId="11" fillId="5" borderId="0" xfId="0" applyNumberFormat="1" applyFont="1" applyFill="1"/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4" fontId="7" fillId="5" borderId="0" xfId="0" applyNumberFormat="1" applyFont="1" applyFill="1"/>
    <xf numFmtId="2" fontId="7" fillId="5" borderId="0" xfId="0" applyNumberFormat="1" applyFont="1" applyFill="1"/>
    <xf numFmtId="164" fontId="3" fillId="5" borderId="7" xfId="0" applyNumberFormat="1" applyFont="1" applyFill="1" applyBorder="1"/>
    <xf numFmtId="164" fontId="3" fillId="5" borderId="0" xfId="0" applyNumberFormat="1" applyFont="1" applyFill="1" applyAlignment="1">
      <alignment horizontal="right" indent="1"/>
    </xf>
    <xf numFmtId="0" fontId="3" fillId="5" borderId="0" xfId="0" applyFont="1" applyFill="1" applyAlignment="1">
      <alignment horizontal="right" indent="1"/>
    </xf>
    <xf numFmtId="167" fontId="3" fillId="5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8" fillId="3" borderId="11" xfId="0" applyFont="1" applyFill="1" applyBorder="1" applyAlignment="1">
      <alignment horizontal="left"/>
    </xf>
    <xf numFmtId="0" fontId="27" fillId="3" borderId="10" xfId="0" applyFont="1" applyFill="1" applyBorder="1"/>
    <xf numFmtId="2" fontId="11" fillId="3" borderId="39" xfId="0" applyNumberFormat="1" applyFont="1" applyFill="1" applyBorder="1"/>
    <xf numFmtId="0" fontId="8" fillId="3" borderId="3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 vertical="center" wrapText="1"/>
    </xf>
    <xf numFmtId="164" fontId="7" fillId="3" borderId="64" xfId="0" applyNumberFormat="1" applyFont="1" applyFill="1" applyBorder="1"/>
    <xf numFmtId="164" fontId="7" fillId="3" borderId="39" xfId="0" applyNumberFormat="1" applyFont="1" applyFill="1" applyBorder="1"/>
    <xf numFmtId="2" fontId="7" fillId="3" borderId="39" xfId="0" applyNumberFormat="1" applyFont="1" applyFill="1" applyBorder="1"/>
    <xf numFmtId="164" fontId="7" fillId="2" borderId="65" xfId="0" applyNumberFormat="1" applyFont="1" applyFill="1" applyBorder="1"/>
    <xf numFmtId="164" fontId="7" fillId="3" borderId="7" xfId="0" applyNumberFormat="1" applyFont="1" applyFill="1" applyBorder="1"/>
    <xf numFmtId="164" fontId="7" fillId="3" borderId="9" xfId="0" applyNumberFormat="1" applyFont="1" applyFill="1" applyBorder="1"/>
    <xf numFmtId="2" fontId="7" fillId="3" borderId="7" xfId="0" applyNumberFormat="1" applyFont="1" applyFill="1" applyBorder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2" fontId="54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2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6" fillId="2" borderId="42" xfId="1" applyFont="1" applyFill="1" applyBorder="1" applyAlignment="1" applyProtection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66" fontId="3" fillId="0" borderId="61" xfId="0" applyNumberFormat="1" applyFont="1" applyBorder="1" applyAlignment="1">
      <alignment horizontal="center" vertical="center" wrapText="1"/>
    </xf>
    <xf numFmtId="166" fontId="27" fillId="0" borderId="61" xfId="0" applyNumberFormat="1" applyFont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 wrapText="1" indent="1"/>
    </xf>
    <xf numFmtId="0" fontId="3" fillId="2" borderId="59" xfId="0" applyFont="1" applyFill="1" applyBorder="1" applyAlignment="1">
      <alignment horizontal="left" vertical="center" wrapText="1" indent="1"/>
    </xf>
    <xf numFmtId="0" fontId="27" fillId="2" borderId="60" xfId="0" applyFont="1" applyFill="1" applyBorder="1" applyAlignment="1">
      <alignment horizontal="left" vertical="center" wrapText="1" indent="1"/>
    </xf>
    <xf numFmtId="0" fontId="17" fillId="2" borderId="62" xfId="0" applyFont="1" applyFill="1" applyBorder="1" applyAlignment="1">
      <alignment horizontal="center" vertical="center" wrapText="1"/>
    </xf>
    <xf numFmtId="0" fontId="27" fillId="2" borderId="63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/>
    </xf>
    <xf numFmtId="0" fontId="17" fillId="2" borderId="63" xfId="0" applyFont="1" applyFill="1" applyBorder="1" applyAlignment="1">
      <alignment horizontal="center" vertical="center" wrapText="1"/>
    </xf>
    <xf numFmtId="0" fontId="44" fillId="3" borderId="13" xfId="0" applyFont="1" applyFill="1" applyBorder="1" applyAlignment="1" applyProtection="1">
      <alignment horizontal="left"/>
      <protection hidden="1"/>
    </xf>
    <xf numFmtId="0" fontId="40" fillId="0" borderId="13" xfId="0" applyFont="1" applyBorder="1" applyAlignment="1">
      <alignment horizontal="left"/>
    </xf>
    <xf numFmtId="0" fontId="43" fillId="3" borderId="13" xfId="0" applyFont="1" applyFill="1" applyBorder="1" applyAlignment="1" applyProtection="1">
      <alignment horizontal="left" indent="1"/>
      <protection hidden="1"/>
    </xf>
    <xf numFmtId="0" fontId="44" fillId="3" borderId="13" xfId="0" applyFont="1" applyFill="1" applyBorder="1" applyAlignment="1" applyProtection="1">
      <alignment horizontal="right"/>
      <protection hidden="1"/>
    </xf>
    <xf numFmtId="0" fontId="40" fillId="0" borderId="13" xfId="0" applyFont="1" applyBorder="1" applyAlignment="1">
      <alignment horizontal="right"/>
    </xf>
    <xf numFmtId="0" fontId="41" fillId="6" borderId="56" xfId="0" applyFont="1" applyFill="1" applyBorder="1" applyAlignment="1" applyProtection="1">
      <alignment horizontal="center" vertical="center"/>
      <protection hidden="1"/>
    </xf>
    <xf numFmtId="0" fontId="39" fillId="0" borderId="57" xfId="0" applyFont="1" applyBorder="1" applyAlignment="1">
      <alignment horizontal="center" vertical="center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0" fillId="0" borderId="1" xfId="0" applyFont="1" applyBorder="1" applyAlignment="1">
      <alignment horizontal="center" vertical="center"/>
    </xf>
    <xf numFmtId="164" fontId="40" fillId="3" borderId="57" xfId="0" applyNumberFormat="1" applyFont="1" applyFill="1" applyBorder="1" applyAlignment="1" applyProtection="1">
      <alignment horizontal="center"/>
      <protection hidden="1"/>
    </xf>
    <xf numFmtId="0" fontId="45" fillId="3" borderId="0" xfId="0" applyFont="1" applyFill="1" applyAlignment="1" applyProtection="1">
      <alignment vertical="center"/>
      <protection hidden="1"/>
    </xf>
    <xf numFmtId="0" fontId="42" fillId="0" borderId="0" xfId="0" applyFont="1"/>
    <xf numFmtId="0" fontId="45" fillId="3" borderId="0" xfId="0" applyFont="1" applyFill="1" applyAlignment="1" applyProtection="1">
      <alignment horizontal="left" vertical="center" indent="1"/>
      <protection hidden="1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1" fillId="6" borderId="57" xfId="0" applyFont="1" applyFill="1" applyBorder="1" applyAlignment="1" applyProtection="1">
      <alignment horizontal="center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15" fontId="40" fillId="6" borderId="0" xfId="0" applyNumberFormat="1" applyFont="1" applyFill="1" applyAlignment="1" applyProtection="1">
      <alignment horizontal="center" vertical="center" wrapText="1"/>
      <protection hidden="1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4" fillId="3" borderId="0" xfId="0" applyFont="1" applyFill="1" applyAlignment="1" applyProtection="1">
      <alignment horizontal="right" vertical="center" wrapText="1"/>
      <protection hidden="1"/>
    </xf>
    <xf numFmtId="0" fontId="46" fillId="0" borderId="0" xfId="0" applyFont="1" applyAlignment="1">
      <alignment horizontal="right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0" fontId="40" fillId="6" borderId="0" xfId="0" applyFont="1" applyFill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>
      <alignment horizontal="left" vertical="center" indent="1"/>
    </xf>
    <xf numFmtId="0" fontId="40" fillId="0" borderId="0" xfId="0" applyFont="1" applyProtection="1">
      <protection hidden="1"/>
    </xf>
    <xf numFmtId="0" fontId="41" fillId="3" borderId="13" xfId="0" applyFont="1" applyFill="1" applyBorder="1" applyAlignment="1" applyProtection="1">
      <alignment horizontal="right" vertical="center"/>
      <protection hidden="1"/>
    </xf>
    <xf numFmtId="0" fontId="51" fillId="6" borderId="1" xfId="0" applyFont="1" applyFill="1" applyBorder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164" fontId="40" fillId="6" borderId="56" xfId="0" applyNumberFormat="1" applyFont="1" applyFill="1" applyBorder="1" applyAlignment="1" applyProtection="1">
      <alignment horizontal="center" vertical="center"/>
      <protection hidden="1"/>
    </xf>
    <xf numFmtId="164" fontId="40" fillId="6" borderId="55" xfId="0" applyNumberFormat="1" applyFont="1" applyFill="1" applyBorder="1" applyAlignment="1" applyProtection="1">
      <alignment horizontal="center" vertical="center"/>
      <protection hidden="1"/>
    </xf>
    <xf numFmtId="0" fontId="40" fillId="0" borderId="13" xfId="0" applyFont="1" applyBorder="1" applyProtection="1">
      <protection hidden="1"/>
    </xf>
    <xf numFmtId="0" fontId="39" fillId="0" borderId="13" xfId="0" applyFont="1" applyBorder="1" applyProtection="1"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8" fillId="3" borderId="48" xfId="0" applyFont="1" applyFill="1" applyBorder="1" applyAlignment="1">
      <alignment horizontal="right" vertical="center"/>
    </xf>
    <xf numFmtId="0" fontId="38" fillId="3" borderId="49" xfId="0" applyFont="1" applyFill="1" applyBorder="1" applyAlignment="1">
      <alignment horizontal="right" vertical="center"/>
    </xf>
    <xf numFmtId="168" fontId="38" fillId="3" borderId="49" xfId="0" applyNumberFormat="1" applyFont="1" applyFill="1" applyBorder="1" applyAlignment="1">
      <alignment horizontal="left" vertical="center" indent="1"/>
    </xf>
    <xf numFmtId="168" fontId="0" fillId="3" borderId="50" xfId="0" applyNumberFormat="1" applyFill="1" applyBorder="1" applyAlignment="1">
      <alignment horizontal="left" vertical="center" indent="1"/>
    </xf>
    <xf numFmtId="0" fontId="38" fillId="3" borderId="25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O10" sqref="O10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85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1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81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80" t="s">
        <v>134</v>
      </c>
      <c r="I3" s="380"/>
      <c r="J3" s="380"/>
      <c r="K3" s="380"/>
      <c r="L3" s="380"/>
      <c r="M3" s="380"/>
      <c r="N3" s="5"/>
      <c r="O3" s="62"/>
      <c r="P3" s="143"/>
      <c r="Q3" s="377" t="s">
        <v>65</v>
      </c>
      <c r="R3" s="378"/>
      <c r="S3" s="379"/>
      <c r="T3" s="80"/>
      <c r="U3" s="381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81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68"/>
      <c r="E5" s="369"/>
      <c r="F5" s="370"/>
      <c r="G5" s="5"/>
      <c r="H5" s="374" t="s">
        <v>136</v>
      </c>
      <c r="I5" s="374"/>
      <c r="J5" s="374"/>
      <c r="K5" s="374"/>
      <c r="L5" s="374"/>
      <c r="M5" s="374"/>
      <c r="N5" s="374"/>
      <c r="O5" s="374"/>
      <c r="P5" s="68"/>
      <c r="Q5" s="5"/>
      <c r="R5" s="79"/>
      <c r="S5" s="79"/>
      <c r="T5" s="80"/>
      <c r="U5" s="381"/>
      <c r="V5" s="3" t="s">
        <v>77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68"/>
      <c r="E6" s="369"/>
      <c r="F6" s="370"/>
      <c r="G6" s="5"/>
      <c r="H6" s="374"/>
      <c r="I6" s="374"/>
      <c r="J6" s="374"/>
      <c r="K6" s="374"/>
      <c r="L6" s="374"/>
      <c r="M6" s="374"/>
      <c r="N6" s="374"/>
      <c r="O6" s="374"/>
      <c r="P6" s="68"/>
      <c r="Q6" s="5"/>
      <c r="R6" s="79"/>
      <c r="S6" s="79"/>
      <c r="T6" s="80"/>
      <c r="U6" s="381"/>
      <c r="V6" s="3" t="s">
        <v>78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68"/>
      <c r="E7" s="369"/>
      <c r="F7" s="370"/>
      <c r="G7" s="5"/>
      <c r="H7" s="374"/>
      <c r="I7" s="374"/>
      <c r="J7" s="374"/>
      <c r="K7" s="374"/>
      <c r="L7" s="374"/>
      <c r="M7" s="374"/>
      <c r="N7" s="374"/>
      <c r="O7" s="374"/>
      <c r="P7" s="68"/>
      <c r="Q7" s="5"/>
      <c r="R7" s="79"/>
      <c r="S7" s="79"/>
      <c r="T7" s="80"/>
      <c r="U7" s="381"/>
      <c r="V7" s="3" t="s">
        <v>79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81"/>
      <c r="V8" s="3" t="s">
        <v>77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Admin!B367</f>
        <v>45387</v>
      </c>
      <c r="P9" s="145"/>
      <c r="Q9" s="140"/>
      <c r="R9" s="141"/>
      <c r="S9" s="141"/>
      <c r="T9" s="80"/>
      <c r="U9" s="381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81"/>
      <c r="V10" s="3" t="s">
        <v>80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83"/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4"/>
      <c r="S11" s="384"/>
      <c r="T11" s="384"/>
      <c r="U11" s="381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81"/>
      <c r="V12" s="3" t="s">
        <v>81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73" t="s">
        <v>50</v>
      </c>
      <c r="I13" s="14"/>
      <c r="J13" s="22"/>
      <c r="K13" s="83" t="s">
        <v>20</v>
      </c>
      <c r="L13" s="52"/>
      <c r="M13" s="70"/>
      <c r="N13" s="13"/>
      <c r="O13" s="371"/>
      <c r="P13" s="372"/>
      <c r="Q13" s="388"/>
      <c r="R13" s="53"/>
      <c r="S13" s="375"/>
      <c r="T13" s="15"/>
      <c r="U13" s="381"/>
      <c r="V13" s="3" t="s">
        <v>82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73"/>
      <c r="I14" s="14"/>
      <c r="J14" s="22"/>
      <c r="K14" s="52"/>
      <c r="L14" s="52"/>
      <c r="M14" s="70"/>
      <c r="N14" s="13"/>
      <c r="O14" s="14"/>
      <c r="P14" s="148"/>
      <c r="Q14" s="382"/>
      <c r="R14" s="14"/>
      <c r="S14" s="376"/>
      <c r="T14" s="15"/>
      <c r="U14" s="381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62"/>
      <c r="E15" s="363"/>
      <c r="F15" s="364"/>
      <c r="G15" s="14"/>
      <c r="H15" s="21" t="s">
        <v>51</v>
      </c>
      <c r="I15" s="14"/>
      <c r="J15" s="51"/>
      <c r="K15" s="14" t="s">
        <v>17</v>
      </c>
      <c r="L15" s="14"/>
      <c r="M15" s="365"/>
      <c r="N15" s="366"/>
      <c r="O15" s="367"/>
      <c r="P15" s="148"/>
      <c r="Q15" s="138"/>
      <c r="R15" s="136"/>
      <c r="S15" s="139"/>
      <c r="T15" s="15"/>
      <c r="U15" s="381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62"/>
      <c r="E16" s="363"/>
      <c r="F16" s="36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81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81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81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81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81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81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81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81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81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81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81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81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81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81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81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81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81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81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81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81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81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87"/>
      <c r="B37" s="387"/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2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82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73" t="s">
        <v>50</v>
      </c>
      <c r="I39" s="14"/>
      <c r="J39" s="22"/>
      <c r="K39" s="83" t="s">
        <v>20</v>
      </c>
      <c r="L39" s="52"/>
      <c r="M39" s="70"/>
      <c r="N39" s="13"/>
      <c r="O39" s="371"/>
      <c r="P39" s="372"/>
      <c r="Q39" s="388"/>
      <c r="R39" s="53"/>
      <c r="S39" s="375"/>
      <c r="T39" s="15"/>
      <c r="U39" s="382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73"/>
      <c r="I40" s="14"/>
      <c r="J40" s="22"/>
      <c r="K40" s="52"/>
      <c r="L40" s="52"/>
      <c r="M40" s="70"/>
      <c r="N40" s="13"/>
      <c r="O40" s="14"/>
      <c r="P40" s="148"/>
      <c r="Q40" s="382"/>
      <c r="R40" s="14"/>
      <c r="S40" s="376"/>
      <c r="T40" s="15"/>
      <c r="U40" s="382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62"/>
      <c r="E41" s="363"/>
      <c r="F41" s="364"/>
      <c r="G41" s="14"/>
      <c r="H41" s="21" t="s">
        <v>51</v>
      </c>
      <c r="I41" s="14"/>
      <c r="J41" s="51"/>
      <c r="K41" s="14" t="s">
        <v>17</v>
      </c>
      <c r="L41" s="14"/>
      <c r="M41" s="365"/>
      <c r="N41" s="366"/>
      <c r="O41" s="367"/>
      <c r="P41" s="148"/>
      <c r="Q41" s="138"/>
      <c r="R41" s="136"/>
      <c r="S41" s="139"/>
      <c r="T41" s="15"/>
      <c r="U41" s="382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62"/>
      <c r="E42" s="363"/>
      <c r="F42" s="36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82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82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82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82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82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82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82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82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82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82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82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82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82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82"/>
      <c r="W55" s="206">
        <f>Admin!B55</f>
        <v>45075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82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82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82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82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82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73"/>
      <c r="L61" s="373"/>
      <c r="M61" s="389"/>
      <c r="N61" s="389"/>
      <c r="O61" s="389"/>
      <c r="P61" s="389"/>
      <c r="Q61" s="389"/>
      <c r="R61" s="389"/>
      <c r="S61" s="389"/>
      <c r="T61" s="15"/>
      <c r="U61" s="382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82"/>
      <c r="W62" s="206">
        <f>Admin!B62</f>
        <v>45082</v>
      </c>
    </row>
    <row r="63" spans="1:24" ht="22.5" customHeight="1" thickBot="1" x14ac:dyDescent="0.2">
      <c r="A63" s="387"/>
      <c r="B63" s="387"/>
      <c r="C63" s="387"/>
      <c r="D63" s="387"/>
      <c r="E63" s="387"/>
      <c r="F63" s="387"/>
      <c r="G63" s="387"/>
      <c r="H63" s="387"/>
      <c r="I63" s="387"/>
      <c r="J63" s="387"/>
      <c r="K63" s="387"/>
      <c r="L63" s="387"/>
      <c r="M63" s="387"/>
      <c r="N63" s="387"/>
      <c r="O63" s="387"/>
      <c r="P63" s="387"/>
      <c r="Q63" s="387"/>
      <c r="R63" s="387"/>
      <c r="S63" s="387"/>
      <c r="T63" s="387"/>
      <c r="U63" s="382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82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73" t="s">
        <v>50</v>
      </c>
      <c r="I65" s="14"/>
      <c r="J65" s="22"/>
      <c r="K65" s="83" t="s">
        <v>20</v>
      </c>
      <c r="L65" s="52"/>
      <c r="M65" s="70"/>
      <c r="N65" s="13"/>
      <c r="O65" s="371"/>
      <c r="P65" s="372"/>
      <c r="Q65" s="388"/>
      <c r="R65" s="53"/>
      <c r="S65" s="375"/>
      <c r="T65" s="15"/>
      <c r="U65" s="382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73"/>
      <c r="I66" s="14"/>
      <c r="J66" s="22"/>
      <c r="K66" s="52"/>
      <c r="L66" s="52"/>
      <c r="M66" s="70"/>
      <c r="N66" s="13"/>
      <c r="O66" s="14"/>
      <c r="P66" s="148"/>
      <c r="Q66" s="382"/>
      <c r="R66" s="14"/>
      <c r="S66" s="376"/>
      <c r="T66" s="15"/>
      <c r="U66" s="382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62"/>
      <c r="E67" s="363"/>
      <c r="F67" s="364"/>
      <c r="G67" s="14"/>
      <c r="H67" s="21" t="s">
        <v>51</v>
      </c>
      <c r="I67" s="14"/>
      <c r="J67" s="51"/>
      <c r="K67" s="14" t="s">
        <v>17</v>
      </c>
      <c r="L67" s="14"/>
      <c r="M67" s="365"/>
      <c r="N67" s="366"/>
      <c r="O67" s="367"/>
      <c r="P67" s="148"/>
      <c r="Q67" s="138"/>
      <c r="R67" s="136"/>
      <c r="S67" s="139"/>
      <c r="T67" s="15"/>
      <c r="U67" s="382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62"/>
      <c r="E68" s="363"/>
      <c r="F68" s="36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82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82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82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82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82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82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82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82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82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82"/>
      <c r="W77" s="206">
        <f>Admin!B77</f>
        <v>45097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82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82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82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82"/>
      <c r="W81" s="206">
        <f>Admin!B81</f>
        <v>45101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82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82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82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82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82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82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82"/>
      <c r="W88" s="206">
        <f>Admin!B88</f>
        <v>45108</v>
      </c>
    </row>
    <row r="89" spans="1:23" ht="22.5" customHeight="1" thickBot="1" x14ac:dyDescent="0.2">
      <c r="A89" s="387"/>
      <c r="B89" s="387"/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2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82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73" t="s">
        <v>50</v>
      </c>
      <c r="I91" s="14"/>
      <c r="J91" s="22"/>
      <c r="K91" s="83" t="s">
        <v>20</v>
      </c>
      <c r="L91" s="52"/>
      <c r="M91" s="70"/>
      <c r="N91" s="13"/>
      <c r="O91" s="371"/>
      <c r="P91" s="372"/>
      <c r="Q91" s="388"/>
      <c r="R91" s="53"/>
      <c r="S91" s="375"/>
      <c r="T91" s="15"/>
      <c r="U91" s="382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73"/>
      <c r="I92" s="14"/>
      <c r="J92" s="22"/>
      <c r="K92" s="52"/>
      <c r="L92" s="52"/>
      <c r="M92" s="70"/>
      <c r="N92" s="13"/>
      <c r="O92" s="14"/>
      <c r="P92" s="148"/>
      <c r="Q92" s="382"/>
      <c r="R92" s="14"/>
      <c r="S92" s="376"/>
      <c r="T92" s="15"/>
      <c r="U92" s="382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62"/>
      <c r="E93" s="363"/>
      <c r="F93" s="364"/>
      <c r="G93" s="14"/>
      <c r="H93" s="21" t="s">
        <v>51</v>
      </c>
      <c r="I93" s="14"/>
      <c r="J93" s="51"/>
      <c r="K93" s="14" t="s">
        <v>17</v>
      </c>
      <c r="L93" s="14"/>
      <c r="M93" s="365"/>
      <c r="N93" s="366"/>
      <c r="O93" s="367"/>
      <c r="P93" s="148"/>
      <c r="Q93" s="138"/>
      <c r="R93" s="136"/>
      <c r="S93" s="139"/>
      <c r="T93" s="15"/>
      <c r="U93" s="382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62"/>
      <c r="E94" s="363"/>
      <c r="F94" s="36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82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62"/>
      <c r="E95" s="363"/>
      <c r="F95" s="36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82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82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82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82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82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82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82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82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82"/>
      <c r="W103" s="206">
        <f>Admin!B103</f>
        <v>45123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82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82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82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82"/>
      <c r="W107" s="206">
        <f>Admin!B107</f>
        <v>45127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82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82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82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82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82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82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82"/>
      <c r="W114" s="206">
        <f>Admin!B114</f>
        <v>45134</v>
      </c>
    </row>
    <row r="115" spans="1:23" ht="22.5" customHeight="1" thickBot="1" x14ac:dyDescent="0.2">
      <c r="A115" s="387"/>
      <c r="B115" s="387"/>
      <c r="C115" s="387"/>
      <c r="D115" s="387"/>
      <c r="E115" s="387"/>
      <c r="F115" s="387"/>
      <c r="G115" s="387"/>
      <c r="H115" s="387"/>
      <c r="I115" s="387"/>
      <c r="J115" s="387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2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82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73" t="s">
        <v>50</v>
      </c>
      <c r="I117" s="14"/>
      <c r="J117" s="22"/>
      <c r="K117" s="83" t="s">
        <v>20</v>
      </c>
      <c r="L117" s="52"/>
      <c r="M117" s="70"/>
      <c r="N117" s="13"/>
      <c r="O117" s="371"/>
      <c r="P117" s="372"/>
      <c r="Q117" s="388"/>
      <c r="R117" s="53"/>
      <c r="S117" s="375"/>
      <c r="T117" s="15"/>
      <c r="U117" s="382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73"/>
      <c r="I118" s="14"/>
      <c r="J118" s="22"/>
      <c r="K118" s="52"/>
      <c r="L118" s="52"/>
      <c r="M118" s="70"/>
      <c r="N118" s="13"/>
      <c r="O118" s="14"/>
      <c r="P118" s="148"/>
      <c r="Q118" s="382"/>
      <c r="R118" s="14"/>
      <c r="S118" s="376"/>
      <c r="T118" s="15"/>
      <c r="U118" s="382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62"/>
      <c r="E119" s="363"/>
      <c r="F119" s="364"/>
      <c r="G119" s="14"/>
      <c r="H119" s="21" t="s">
        <v>51</v>
      </c>
      <c r="I119" s="14"/>
      <c r="J119" s="51"/>
      <c r="K119" s="14" t="s">
        <v>17</v>
      </c>
      <c r="L119" s="14"/>
      <c r="M119" s="365"/>
      <c r="N119" s="366"/>
      <c r="O119" s="367"/>
      <c r="P119" s="148"/>
      <c r="Q119" s="29"/>
      <c r="R119" s="136"/>
      <c r="S119" s="139"/>
      <c r="T119" s="15"/>
      <c r="U119" s="382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62"/>
      <c r="E120" s="363"/>
      <c r="F120" s="36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82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82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82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82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82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82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82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82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82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82"/>
      <c r="W129" s="206">
        <f>Admin!B129</f>
        <v>45149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82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82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82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82"/>
      <c r="W133" s="206">
        <f>Admin!B133</f>
        <v>45153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82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82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82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82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82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82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82"/>
      <c r="W140" s="206">
        <f>Admin!B140</f>
        <v>45160</v>
      </c>
    </row>
    <row r="141" spans="1:23" ht="22.5" customHeight="1" thickBot="1" x14ac:dyDescent="0.2">
      <c r="A141" s="387"/>
      <c r="B141" s="387"/>
      <c r="C141" s="387"/>
      <c r="D141" s="387"/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2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10" sqref="M10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5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35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">
        <v>104</v>
      </c>
      <c r="I3" s="404" t="s">
        <v>43</v>
      </c>
      <c r="J3" s="404" t="s">
        <v>44</v>
      </c>
      <c r="K3" s="437" t="s">
        <v>48</v>
      </c>
      <c r="L3" s="437" t="s">
        <v>31</v>
      </c>
      <c r="M3" s="456" t="s">
        <v>46</v>
      </c>
      <c r="N3" s="404" t="s">
        <v>1</v>
      </c>
      <c r="O3" s="423" t="s">
        <v>26</v>
      </c>
      <c r="P3" s="404" t="s">
        <v>105</v>
      </c>
      <c r="Q3" s="423" t="s">
        <v>2</v>
      </c>
      <c r="R3" s="456" t="s">
        <v>47</v>
      </c>
      <c r="S3" s="42"/>
      <c r="T3" s="423" t="s">
        <v>27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40"/>
      <c r="J4" s="440"/>
      <c r="K4" s="438"/>
      <c r="L4" s="438"/>
      <c r="M4" s="457"/>
      <c r="N4" s="405"/>
      <c r="O4" s="419"/>
      <c r="P4" s="405"/>
      <c r="Q4" s="419"/>
      <c r="R4" s="457"/>
      <c r="S4" s="42"/>
      <c r="T4" s="419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40"/>
      <c r="J5" s="440"/>
      <c r="K5" s="438"/>
      <c r="L5" s="438"/>
      <c r="M5" s="457"/>
      <c r="N5" s="405"/>
      <c r="O5" s="419"/>
      <c r="P5" s="405"/>
      <c r="Q5" s="419"/>
      <c r="R5" s="457"/>
      <c r="S5" s="42"/>
      <c r="T5" s="419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41"/>
      <c r="J6" s="441"/>
      <c r="K6" s="439"/>
      <c r="L6" s="439"/>
      <c r="M6" s="457"/>
      <c r="N6" s="406"/>
      <c r="O6" s="419"/>
      <c r="P6" s="406"/>
      <c r="Q6" s="419"/>
      <c r="R6" s="457"/>
      <c r="S6" s="41"/>
      <c r="T6" s="419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458"/>
      <c r="S8" s="459"/>
      <c r="T8" s="45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1</v>
      </c>
      <c r="F9" s="35"/>
      <c r="G9" s="35"/>
      <c r="H9" s="410" t="s">
        <v>57</v>
      </c>
      <c r="I9" s="408"/>
      <c r="J9" s="409"/>
      <c r="K9" s="201">
        <f>Admin!B2</f>
        <v>45022</v>
      </c>
      <c r="L9" s="200" t="s">
        <v>75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33" t="s">
        <v>7</v>
      </c>
      <c r="G16" s="434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</v>
      </c>
      <c r="F19" s="35"/>
      <c r="G19" s="35"/>
      <c r="H19" s="410" t="s">
        <v>28</v>
      </c>
      <c r="I19" s="408"/>
      <c r="J19" s="409"/>
      <c r="K19" s="201">
        <f>M9+1</f>
        <v>45026</v>
      </c>
      <c r="L19" s="200" t="s">
        <v>75</v>
      </c>
      <c r="M19" s="202">
        <f>K19+6</f>
        <v>45032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</v>
      </c>
      <c r="F29" s="35"/>
      <c r="G29" s="35"/>
      <c r="H29" s="410" t="s">
        <v>28</v>
      </c>
      <c r="I29" s="408"/>
      <c r="J29" s="409"/>
      <c r="K29" s="201">
        <f>M19+1</f>
        <v>45033</v>
      </c>
      <c r="L29" s="200" t="s">
        <v>75</v>
      </c>
      <c r="M29" s="202">
        <f>K29+6</f>
        <v>45039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4</v>
      </c>
      <c r="F39" s="35"/>
      <c r="G39" s="35"/>
      <c r="H39" s="410" t="s">
        <v>28</v>
      </c>
      <c r="I39" s="408"/>
      <c r="J39" s="409"/>
      <c r="K39" s="201">
        <f>M29+1</f>
        <v>45040</v>
      </c>
      <c r="L39" s="200" t="s">
        <v>75</v>
      </c>
      <c r="M39" s="202">
        <f>K39+6</f>
        <v>45046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1</v>
      </c>
      <c r="F49" s="35"/>
      <c r="G49" s="35"/>
      <c r="H49" s="410" t="s">
        <v>28</v>
      </c>
      <c r="I49" s="408"/>
      <c r="J49" s="409"/>
      <c r="K49" s="204">
        <f>Admin!B2</f>
        <v>45022</v>
      </c>
      <c r="L49" s="203" t="s">
        <v>75</v>
      </c>
      <c r="M49" s="205">
        <f>Admin!B26</f>
        <v>45046</v>
      </c>
      <c r="N49" s="20"/>
      <c r="O49" s="420" t="s">
        <v>49</v>
      </c>
      <c r="P49" s="421"/>
      <c r="Q49" s="421"/>
      <c r="R49" s="422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5</v>
      </c>
      <c r="F9" s="35"/>
      <c r="G9" s="35"/>
      <c r="H9" s="410" t="s">
        <v>28</v>
      </c>
      <c r="I9" s="408"/>
      <c r="J9" s="409"/>
      <c r="K9" s="204">
        <f>'Apr23'!M39+1</f>
        <v>45047</v>
      </c>
      <c r="L9" s="203" t="s">
        <v>75</v>
      </c>
      <c r="M9" s="205">
        <f>K9+6</f>
        <v>45053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6</v>
      </c>
      <c r="F19" s="35"/>
      <c r="G19" s="35"/>
      <c r="H19" s="410" t="s">
        <v>28</v>
      </c>
      <c r="I19" s="408"/>
      <c r="J19" s="409"/>
      <c r="K19" s="204">
        <f>M9+1</f>
        <v>45054</v>
      </c>
      <c r="L19" s="203" t="s">
        <v>75</v>
      </c>
      <c r="M19" s="205">
        <f>K19+6</f>
        <v>45060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7</v>
      </c>
      <c r="F29" s="35"/>
      <c r="G29" s="35"/>
      <c r="H29" s="410" t="s">
        <v>28</v>
      </c>
      <c r="I29" s="408"/>
      <c r="J29" s="409"/>
      <c r="K29" s="204">
        <f>M19+1</f>
        <v>45061</v>
      </c>
      <c r="L29" s="203" t="s">
        <v>75</v>
      </c>
      <c r="M29" s="205">
        <f>K29+6</f>
        <v>45067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8</v>
      </c>
      <c r="F39" s="35"/>
      <c r="G39" s="35"/>
      <c r="H39" s="410" t="s">
        <v>28</v>
      </c>
      <c r="I39" s="408"/>
      <c r="J39" s="409"/>
      <c r="K39" s="204">
        <f>M29+1</f>
        <v>45068</v>
      </c>
      <c r="L39" s="203" t="s">
        <v>75</v>
      </c>
      <c r="M39" s="205">
        <f>K39+6</f>
        <v>45074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2</v>
      </c>
      <c r="F49" s="35"/>
      <c r="G49" s="35"/>
      <c r="H49" s="410" t="s">
        <v>28</v>
      </c>
      <c r="I49" s="408"/>
      <c r="J49" s="409"/>
      <c r="K49" s="204">
        <f>Admin!B27</f>
        <v>45047</v>
      </c>
      <c r="L49" s="203" t="s">
        <v>75</v>
      </c>
      <c r="M49" s="205">
        <f>Admin!B57</f>
        <v>45077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SUM(AD70:AG70)+SUM(AE72:AG72)</f>
        <v>0</v>
      </c>
      <c r="H1" s="472"/>
      <c r="I1" s="473" t="s">
        <v>4</v>
      </c>
      <c r="J1" s="474"/>
      <c r="K1" s="474"/>
      <c r="L1" s="47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9</v>
      </c>
      <c r="F9" s="35"/>
      <c r="G9" s="35"/>
      <c r="H9" s="410" t="s">
        <v>28</v>
      </c>
      <c r="I9" s="408"/>
      <c r="J9" s="409"/>
      <c r="K9" s="204">
        <f>'May23'!M39+1</f>
        <v>45075</v>
      </c>
      <c r="L9" s="203" t="s">
        <v>75</v>
      </c>
      <c r="M9" s="205">
        <f>K9+6</f>
        <v>45081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10</v>
      </c>
      <c r="F19" s="35"/>
      <c r="G19" s="35"/>
      <c r="H19" s="410" t="s">
        <v>28</v>
      </c>
      <c r="I19" s="408"/>
      <c r="J19" s="409"/>
      <c r="K19" s="204">
        <f>M9+1</f>
        <v>45082</v>
      </c>
      <c r="L19" s="203" t="s">
        <v>75</v>
      </c>
      <c r="M19" s="205">
        <f>K19+6</f>
        <v>45088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11</v>
      </c>
      <c r="F29" s="35"/>
      <c r="G29" s="35"/>
      <c r="H29" s="410" t="s">
        <v>28</v>
      </c>
      <c r="I29" s="408"/>
      <c r="J29" s="409"/>
      <c r="K29" s="204">
        <f>M19+1</f>
        <v>45089</v>
      </c>
      <c r="L29" s="203" t="s">
        <v>75</v>
      </c>
      <c r="M29" s="205">
        <f>K29+6</f>
        <v>45095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12</v>
      </c>
      <c r="F39" s="35"/>
      <c r="G39" s="35"/>
      <c r="H39" s="410" t="s">
        <v>28</v>
      </c>
      <c r="I39" s="464"/>
      <c r="J39" s="465"/>
      <c r="K39" s="204">
        <f>M29+1</f>
        <v>45096</v>
      </c>
      <c r="L39" s="203" t="s">
        <v>75</v>
      </c>
      <c r="M39" s="205">
        <f>K39+6</f>
        <v>45102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410" t="s">
        <v>9</v>
      </c>
      <c r="C49" s="464"/>
      <c r="D49" s="465"/>
      <c r="E49" s="156">
        <v>13</v>
      </c>
      <c r="F49" s="35"/>
      <c r="G49" s="35"/>
      <c r="H49" s="410" t="s">
        <v>28</v>
      </c>
      <c r="I49" s="464"/>
      <c r="J49" s="465"/>
      <c r="K49" s="204">
        <f>M39+1</f>
        <v>45103</v>
      </c>
      <c r="L49" s="203" t="s">
        <v>75</v>
      </c>
      <c r="M49" s="205">
        <f>K49+6</f>
        <v>45109</v>
      </c>
      <c r="N49" s="20"/>
      <c r="O49" s="420" t="s">
        <v>63</v>
      </c>
      <c r="P49" s="466"/>
      <c r="Q49" s="466"/>
      <c r="R49" s="467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3</v>
      </c>
      <c r="F59" s="35"/>
      <c r="G59" s="35"/>
      <c r="H59" s="410" t="s">
        <v>28</v>
      </c>
      <c r="I59" s="408"/>
      <c r="J59" s="409"/>
      <c r="K59" s="204">
        <f>Admin!B58</f>
        <v>45078</v>
      </c>
      <c r="L59" s="203" t="s">
        <v>75</v>
      </c>
      <c r="M59" s="205">
        <f>Admin!B87</f>
        <v>45107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407" t="s">
        <v>23</v>
      </c>
      <c r="C8" s="468"/>
      <c r="D8" s="468"/>
      <c r="E8" s="469"/>
      <c r="F8" s="32"/>
      <c r="G8" s="32"/>
      <c r="H8" s="32"/>
      <c r="I8" s="32"/>
      <c r="J8" s="32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64"/>
      <c r="D9" s="465"/>
      <c r="E9" s="156">
        <v>14</v>
      </c>
      <c r="F9" s="35"/>
      <c r="G9" s="35"/>
      <c r="H9" s="410" t="s">
        <v>28</v>
      </c>
      <c r="I9" s="464"/>
      <c r="J9" s="465"/>
      <c r="K9" s="204">
        <f>Admin!B90</f>
        <v>45110</v>
      </c>
      <c r="L9" s="203" t="s">
        <v>75</v>
      </c>
      <c r="M9" s="205">
        <f>K9+6</f>
        <v>45116</v>
      </c>
      <c r="N9" s="20"/>
      <c r="O9" s="420" t="s">
        <v>63</v>
      </c>
      <c r="P9" s="466"/>
      <c r="Q9" s="466"/>
      <c r="R9" s="46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7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86"/>
      <c r="H18" s="87"/>
      <c r="I18" s="87"/>
      <c r="J18" s="87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15</v>
      </c>
      <c r="F19" s="35"/>
      <c r="G19" s="35"/>
      <c r="H19" s="410" t="s">
        <v>28</v>
      </c>
      <c r="I19" s="408"/>
      <c r="J19" s="409"/>
      <c r="K19" s="204">
        <f>M9+1</f>
        <v>45117</v>
      </c>
      <c r="L19" s="203" t="s">
        <v>75</v>
      </c>
      <c r="M19" s="205">
        <f>K19+6</f>
        <v>45123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8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16</v>
      </c>
      <c r="F29" s="35"/>
      <c r="G29" s="35"/>
      <c r="H29" s="410" t="s">
        <v>28</v>
      </c>
      <c r="I29" s="408"/>
      <c r="J29" s="409"/>
      <c r="K29" s="204">
        <f>M19+1</f>
        <v>45124</v>
      </c>
      <c r="L29" s="203" t="s">
        <v>75</v>
      </c>
      <c r="M29" s="205">
        <f>K29+6</f>
        <v>45130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43"/>
      <c r="I38" s="43"/>
      <c r="J38" s="43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17</v>
      </c>
      <c r="F39" s="35"/>
      <c r="G39" s="35"/>
      <c r="H39" s="410" t="s">
        <v>28</v>
      </c>
      <c r="I39" s="408"/>
      <c r="J39" s="409"/>
      <c r="K39" s="204">
        <f>M29+1</f>
        <v>45131</v>
      </c>
      <c r="L39" s="203" t="s">
        <v>75</v>
      </c>
      <c r="M39" s="205">
        <f>K39+6</f>
        <v>45137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4</v>
      </c>
      <c r="F49" s="35"/>
      <c r="G49" s="35"/>
      <c r="H49" s="410" t="s">
        <v>28</v>
      </c>
      <c r="I49" s="408"/>
      <c r="J49" s="409"/>
      <c r="K49" s="204">
        <f>Admin!B88</f>
        <v>45108</v>
      </c>
      <c r="L49" s="203" t="s">
        <v>75</v>
      </c>
      <c r="M49" s="205">
        <f>Admin!B118</f>
        <v>45138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78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SUM(AD71:AG71)+SUM(AE73:AG73)</f>
        <v>0</v>
      </c>
      <c r="H1" s="446"/>
      <c r="I1" s="442" t="s">
        <v>4</v>
      </c>
      <c r="J1" s="443"/>
      <c r="K1" s="443"/>
      <c r="L1" s="444"/>
      <c r="M1" s="178">
        <f>M16+M26+M36+M46+N56+M67</f>
        <v>0</v>
      </c>
      <c r="N1" s="178">
        <f>N16+N26+N36+N46+N56+N67</f>
        <v>0</v>
      </c>
      <c r="O1" s="178">
        <f>O16+O26+O36+O46+O56+O67</f>
        <v>0</v>
      </c>
      <c r="P1" s="178">
        <f>P16+P26+P36+P46+P56+P67</f>
        <v>0</v>
      </c>
      <c r="Q1" s="178">
        <f>Q16+Q26+Q36+Q46+Q56+Q67</f>
        <v>0</v>
      </c>
      <c r="R1" s="178">
        <f>R16+R26+R36+R46+R56+R67</f>
        <v>0</v>
      </c>
      <c r="S1" s="94"/>
      <c r="T1" s="178">
        <f>T16+T26+T36+T46+T56+T67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M76</f>
        <v>0</v>
      </c>
      <c r="N2" s="178">
        <f t="shared" ref="N2:T2" si="0">N76</f>
        <v>0</v>
      </c>
      <c r="O2" s="178">
        <f t="shared" si="0"/>
        <v>0</v>
      </c>
      <c r="P2" s="178">
        <f t="shared" si="0"/>
        <v>0</v>
      </c>
      <c r="Q2" s="178">
        <f t="shared" si="0"/>
        <v>0</v>
      </c>
      <c r="R2" s="178">
        <f>R76</f>
        <v>0</v>
      </c>
      <c r="S2" s="178">
        <f t="shared" si="0"/>
        <v>0</v>
      </c>
      <c r="T2" s="178">
        <f t="shared" si="0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18</v>
      </c>
      <c r="F9" s="35"/>
      <c r="G9" s="35"/>
      <c r="H9" s="410" t="s">
        <v>28</v>
      </c>
      <c r="I9" s="408"/>
      <c r="J9" s="409"/>
      <c r="K9" s="204">
        <f>Admin!B118</f>
        <v>45138</v>
      </c>
      <c r="L9" s="203" t="s">
        <v>75</v>
      </c>
      <c r="M9" s="205">
        <f>K9+6</f>
        <v>45144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33">
        <f t="shared" ref="M16:R16" si="1">SUM(M11:M15)</f>
        <v>0</v>
      </c>
      <c r="N16" s="127">
        <f t="shared" si="1"/>
        <v>0</v>
      </c>
      <c r="O16" s="127">
        <f t="shared" si="1"/>
        <v>0</v>
      </c>
      <c r="P16" s="127">
        <f t="shared" si="1"/>
        <v>0</v>
      </c>
      <c r="Q16" s="127">
        <f t="shared" si="1"/>
        <v>0</v>
      </c>
      <c r="R16" s="127">
        <f t="shared" si="1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19</v>
      </c>
      <c r="F19" s="35"/>
      <c r="G19" s="35"/>
      <c r="H19" s="410" t="s">
        <v>28</v>
      </c>
      <c r="I19" s="408"/>
      <c r="J19" s="409"/>
      <c r="K19" s="204">
        <f>M9+1</f>
        <v>45145</v>
      </c>
      <c r="L19" s="203" t="s">
        <v>75</v>
      </c>
      <c r="M19" s="205">
        <f>K19+6</f>
        <v>45151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2">IF(P21=0,Y11,P21+Y11)</f>
        <v>0</v>
      </c>
      <c r="Z21" s="49">
        <f t="shared" si="2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2"/>
        <v>0</v>
      </c>
      <c r="Z22" s="49">
        <f t="shared" si="2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2"/>
        <v>0</v>
      </c>
      <c r="Z23" s="49">
        <f t="shared" si="2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2"/>
        <v>0</v>
      </c>
      <c r="Z24" s="49">
        <f t="shared" si="2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2"/>
        <v>0</v>
      </c>
      <c r="Z25" s="49">
        <f t="shared" si="2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3">SUM(M21:M25)</f>
        <v>0</v>
      </c>
      <c r="N26" s="127">
        <f t="shared" si="3"/>
        <v>0</v>
      </c>
      <c r="O26" s="127">
        <f t="shared" si="3"/>
        <v>0</v>
      </c>
      <c r="P26" s="127">
        <f t="shared" si="3"/>
        <v>0</v>
      </c>
      <c r="Q26" s="127">
        <f t="shared" si="3"/>
        <v>0</v>
      </c>
      <c r="R26" s="127">
        <f t="shared" si="3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20</v>
      </c>
      <c r="F29" s="35"/>
      <c r="G29" s="35"/>
      <c r="H29" s="410" t="s">
        <v>28</v>
      </c>
      <c r="I29" s="408"/>
      <c r="J29" s="409"/>
      <c r="K29" s="204">
        <f>M19+1</f>
        <v>45152</v>
      </c>
      <c r="L29" s="203" t="s">
        <v>75</v>
      </c>
      <c r="M29" s="205">
        <f>K29+6</f>
        <v>45158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4">IF(P31=0,Y21,P31+Y21)</f>
        <v>0</v>
      </c>
      <c r="Z31" s="49">
        <f t="shared" si="4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4"/>
        <v>0</v>
      </c>
      <c r="Z32" s="49">
        <f t="shared" si="4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4"/>
        <v>0</v>
      </c>
      <c r="Z33" s="49">
        <f t="shared" si="4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4"/>
        <v>0</v>
      </c>
      <c r="Z34" s="49">
        <f t="shared" si="4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4"/>
        <v>0</v>
      </c>
      <c r="Z35" s="49">
        <f t="shared" si="4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5">SUM(M31:M35)</f>
        <v>0</v>
      </c>
      <c r="N36" s="127">
        <f t="shared" si="5"/>
        <v>0</v>
      </c>
      <c r="O36" s="127">
        <f t="shared" si="5"/>
        <v>0</v>
      </c>
      <c r="P36" s="127">
        <f t="shared" si="5"/>
        <v>0</v>
      </c>
      <c r="Q36" s="127">
        <f t="shared" si="5"/>
        <v>0</v>
      </c>
      <c r="R36" s="127">
        <f t="shared" si="5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21</v>
      </c>
      <c r="F39" s="35"/>
      <c r="G39" s="35"/>
      <c r="H39" s="410" t="s">
        <v>28</v>
      </c>
      <c r="I39" s="464"/>
      <c r="J39" s="465"/>
      <c r="K39" s="204">
        <f>M29+1</f>
        <v>45159</v>
      </c>
      <c r="L39" s="203" t="s">
        <v>75</v>
      </c>
      <c r="M39" s="205">
        <f>K39+6</f>
        <v>45165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6">IF(P41=0,Y31,P41+Y31)</f>
        <v>0</v>
      </c>
      <c r="Z41" s="49">
        <f t="shared" si="6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6"/>
        <v>0</v>
      </c>
      <c r="Z42" s="49">
        <f t="shared" si="6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6"/>
        <v>0</v>
      </c>
      <c r="Z43" s="49">
        <f t="shared" si="6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6"/>
        <v>0</v>
      </c>
      <c r="Z44" s="49">
        <f t="shared" si="6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6"/>
        <v>0</v>
      </c>
      <c r="Z45" s="49">
        <f t="shared" si="6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7">SUM(M41:M45)</f>
        <v>0</v>
      </c>
      <c r="N46" s="127">
        <f t="shared" si="7"/>
        <v>0</v>
      </c>
      <c r="O46" s="127">
        <f t="shared" si="7"/>
        <v>0</v>
      </c>
      <c r="P46" s="127">
        <f t="shared" si="7"/>
        <v>0</v>
      </c>
      <c r="Q46" s="127">
        <f t="shared" si="7"/>
        <v>0</v>
      </c>
      <c r="R46" s="127">
        <f t="shared" si="7"/>
        <v>0</v>
      </c>
      <c r="S46" s="94"/>
      <c r="T46" s="127">
        <f>SUM(T41:T45)</f>
        <v>0</v>
      </c>
      <c r="U46" s="40"/>
      <c r="V46" s="49"/>
      <c r="AH46" s="35"/>
    </row>
    <row r="47" spans="1:34" ht="18" customHeight="1" thickBot="1" x14ac:dyDescent="0.2">
      <c r="A47" s="331"/>
      <c r="B47" s="72"/>
      <c r="C47" s="24"/>
      <c r="D47" s="24"/>
      <c r="E47" s="332"/>
      <c r="F47" s="333"/>
      <c r="G47" s="333"/>
      <c r="H47" s="94"/>
      <c r="I47" s="94"/>
      <c r="J47" s="94"/>
      <c r="K47" s="334"/>
      <c r="L47" s="334"/>
      <c r="M47" s="335"/>
      <c r="N47" s="335"/>
      <c r="O47" s="335"/>
      <c r="P47" s="335"/>
      <c r="Q47" s="335"/>
      <c r="R47" s="335"/>
      <c r="S47" s="94"/>
      <c r="T47" s="335"/>
      <c r="U47" s="336"/>
      <c r="V47" s="49"/>
      <c r="AH47" s="35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22</v>
      </c>
      <c r="F49" s="35"/>
      <c r="G49" s="35"/>
      <c r="H49" s="410" t="s">
        <v>28</v>
      </c>
      <c r="I49" s="464"/>
      <c r="J49" s="465"/>
      <c r="K49" s="204">
        <f>M39+1</f>
        <v>45166</v>
      </c>
      <c r="L49" s="203" t="s">
        <v>75</v>
      </c>
      <c r="M49" s="205">
        <f>K49+6</f>
        <v>45172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8">IF(P51=0,Y41,P51+Y41)</f>
        <v>0</v>
      </c>
      <c r="Z51" s="49">
        <f t="shared" ref="Z51:Z55" si="9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IF(Employee!H$60=E$39,Employee!D$61+SUM(N52)+W42,SUM(N52)+W42)</f>
        <v>0</v>
      </c>
      <c r="X52" s="49">
        <f>IF(O52=" ",X42,O52+X42)</f>
        <v>0</v>
      </c>
      <c r="Y52" s="49">
        <f t="shared" si="8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0">IF(T$49="Y",H43,0)</f>
        <v>0</v>
      </c>
      <c r="I53" s="89">
        <f t="shared" ref="I53:I55" si="11">IF(T$49="Y",I43,0)</f>
        <v>0</v>
      </c>
      <c r="J53" s="89">
        <f t="shared" ref="J53:J55" si="12">IF(T$49="Y",J43,0)</f>
        <v>0</v>
      </c>
      <c r="K53" s="89">
        <f t="shared" ref="K53:K55" si="13">IF(T$49="Y",K43,I53*J53)</f>
        <v>0</v>
      </c>
      <c r="L53" s="89">
        <f t="shared" ref="L53:L55" si="14">IF(T$49="Y",L43,0)</f>
        <v>0</v>
      </c>
      <c r="M53" s="99" t="str">
        <f t="shared" ref="M53:M55" si="15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8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0"/>
        <v>0</v>
      </c>
      <c r="I54" s="92">
        <f t="shared" si="11"/>
        <v>0</v>
      </c>
      <c r="J54" s="92">
        <f t="shared" si="12"/>
        <v>0</v>
      </c>
      <c r="K54" s="92">
        <f t="shared" si="13"/>
        <v>0</v>
      </c>
      <c r="L54" s="92">
        <f t="shared" si="14"/>
        <v>0</v>
      </c>
      <c r="M54" s="100" t="str">
        <f t="shared" si="15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8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0"/>
        <v>0</v>
      </c>
      <c r="I55" s="89">
        <f t="shared" si="11"/>
        <v>0</v>
      </c>
      <c r="J55" s="89">
        <f t="shared" si="12"/>
        <v>0</v>
      </c>
      <c r="K55" s="89">
        <f t="shared" si="13"/>
        <v>0</v>
      </c>
      <c r="L55" s="89">
        <f t="shared" si="14"/>
        <v>0</v>
      </c>
      <c r="M55" s="99" t="str">
        <f t="shared" si="15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8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16">SUM(M51:M55)</f>
        <v>0</v>
      </c>
      <c r="N56" s="127">
        <f t="shared" si="16"/>
        <v>0</v>
      </c>
      <c r="O56" s="127">
        <f t="shared" si="16"/>
        <v>0</v>
      </c>
      <c r="P56" s="127">
        <f t="shared" si="16"/>
        <v>0</v>
      </c>
      <c r="Q56" s="127">
        <f t="shared" si="16"/>
        <v>0</v>
      </c>
      <c r="R56" s="127">
        <f t="shared" si="16"/>
        <v>0</v>
      </c>
      <c r="S56" s="94"/>
      <c r="T56" s="127">
        <f>SUM(T51:T55)</f>
        <v>0</v>
      </c>
      <c r="U56" s="40"/>
      <c r="V56" s="49"/>
      <c r="AH56" s="35"/>
    </row>
    <row r="57" spans="1:34" ht="18" customHeight="1" thickBot="1" x14ac:dyDescent="0.2">
      <c r="A57" s="331"/>
      <c r="B57" s="72"/>
      <c r="C57" s="24"/>
      <c r="D57" s="24"/>
      <c r="E57" s="332"/>
      <c r="F57" s="333"/>
      <c r="G57" s="333"/>
      <c r="H57" s="94"/>
      <c r="I57" s="94"/>
      <c r="J57" s="94"/>
      <c r="K57" s="334"/>
      <c r="L57" s="334"/>
      <c r="M57" s="335"/>
      <c r="N57" s="335"/>
      <c r="O57" s="335"/>
      <c r="P57" s="335"/>
      <c r="Q57" s="335"/>
      <c r="R57" s="335"/>
      <c r="S57" s="94"/>
      <c r="T57" s="335"/>
      <c r="U57" s="336"/>
      <c r="V57" s="49"/>
      <c r="AH57" s="35"/>
    </row>
    <row r="58" spans="1:34" s="8" customFormat="1" ht="24" customHeight="1" thickBot="1" x14ac:dyDescent="0.2">
      <c r="A58" s="108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165"/>
      <c r="V58" s="66"/>
      <c r="W58" s="66"/>
      <c r="X58" s="66"/>
      <c r="Y58" s="166"/>
      <c r="Z58" s="66"/>
      <c r="AA58" s="66"/>
      <c r="AB58" s="67"/>
      <c r="AC58" s="66"/>
      <c r="AD58" s="75"/>
      <c r="AE58" s="75"/>
      <c r="AF58" s="75"/>
      <c r="AG58" s="75"/>
      <c r="AH58" s="128"/>
    </row>
    <row r="59" spans="1:34" ht="18" customHeight="1" thickTop="1" thickBot="1" x14ac:dyDescent="0.2">
      <c r="A59" s="31"/>
      <c r="B59" s="407" t="s">
        <v>24</v>
      </c>
      <c r="C59" s="408"/>
      <c r="D59" s="408"/>
      <c r="E59" s="409"/>
      <c r="F59" s="32"/>
      <c r="G59" s="32"/>
      <c r="H59" s="43"/>
      <c r="I59" s="43"/>
      <c r="J59" s="43"/>
      <c r="K59" s="46"/>
      <c r="L59" s="46"/>
      <c r="M59" s="43"/>
      <c r="N59" s="32"/>
      <c r="O59" s="400" t="s">
        <v>28</v>
      </c>
      <c r="P59" s="401"/>
      <c r="Q59" s="402"/>
      <c r="R59" s="398"/>
      <c r="S59" s="399"/>
      <c r="T59" s="399"/>
      <c r="U59" s="33"/>
      <c r="AH59" s="35"/>
    </row>
    <row r="60" spans="1:34" ht="18" customHeight="1" thickTop="1" thickBot="1" x14ac:dyDescent="0.2">
      <c r="A60" s="34"/>
      <c r="B60" s="410" t="s">
        <v>10</v>
      </c>
      <c r="C60" s="408"/>
      <c r="D60" s="409"/>
      <c r="E60" s="156">
        <v>5</v>
      </c>
      <c r="F60" s="35"/>
      <c r="G60" s="35"/>
      <c r="H60" s="410" t="s">
        <v>28</v>
      </c>
      <c r="I60" s="408"/>
      <c r="J60" s="409"/>
      <c r="K60" s="204">
        <f>Admin!B119</f>
        <v>45139</v>
      </c>
      <c r="L60" s="203" t="s">
        <v>75</v>
      </c>
      <c r="M60" s="205">
        <f>Admin!B149</f>
        <v>45169</v>
      </c>
      <c r="N60" s="20"/>
      <c r="O60" s="420" t="s">
        <v>64</v>
      </c>
      <c r="P60" s="421"/>
      <c r="Q60" s="421"/>
      <c r="R60" s="422"/>
      <c r="S60" s="35"/>
      <c r="T60" s="132"/>
      <c r="U60" s="37"/>
      <c r="AH60" s="35"/>
    </row>
    <row r="61" spans="1:34" ht="18" customHeight="1" thickTop="1" x14ac:dyDescent="0.15">
      <c r="A61" s="34"/>
      <c r="B61" s="72"/>
      <c r="C61" s="24"/>
      <c r="D61" s="24"/>
      <c r="E61" s="36"/>
      <c r="F61" s="35"/>
      <c r="G61" s="35"/>
      <c r="H61" s="44"/>
      <c r="I61" s="44"/>
      <c r="J61" s="44"/>
      <c r="K61" s="47"/>
      <c r="L61" s="47"/>
      <c r="M61" s="44"/>
      <c r="N61" s="35"/>
      <c r="O61" s="44"/>
      <c r="P61" s="44"/>
      <c r="Q61" s="44"/>
      <c r="R61" s="44"/>
      <c r="S61" s="35"/>
      <c r="T61" s="44"/>
      <c r="U61" s="37"/>
      <c r="AH61" s="35"/>
    </row>
    <row r="62" spans="1:34" ht="18" customHeight="1" x14ac:dyDescent="0.15">
      <c r="A62" s="34"/>
      <c r="B62" s="113" t="str">
        <f>IF(E62=" "," ",IF(Employee!F$24&gt;E$60," ",IF(Employee!F$26&lt;E$60," ",Employee!D$30)))</f>
        <v xml:space="preserve"> </v>
      </c>
      <c r="C62" s="299"/>
      <c r="D62" s="299" t="s">
        <v>106</v>
      </c>
      <c r="E62" s="120" t="str">
        <f>IF(Employee!D$28="w"," ",IF(Employee!F$24&gt;E$60," ",IF(Employee!F$26&lt;E$60," ",Employee!D$29)))</f>
        <v xml:space="preserve"> </v>
      </c>
      <c r="F62" s="117" t="str">
        <f>IF(E62=" "," ",IF(Employee!F$24&gt;E$60," ",IF(Employee!F$26&lt;E$60," ",Employee!D$15)))</f>
        <v xml:space="preserve"> </v>
      </c>
      <c r="G62" s="130"/>
      <c r="H62" s="95">
        <f>IF(T$60="Y",'Jul23'!H51,0)</f>
        <v>0</v>
      </c>
      <c r="I62" s="89">
        <f>IF(T$60="Y",'Jul23'!I51,0)</f>
        <v>0</v>
      </c>
      <c r="J62" s="89">
        <f>IF(T$60="Y",'Jul23'!J51,0)</f>
        <v>0</v>
      </c>
      <c r="K62" s="89">
        <f>IF(T$60="Y",'Jul23'!K51,I62*J62)</f>
        <v>0</v>
      </c>
      <c r="L62" s="89">
        <f>IF(T$60="Y",'Jul23'!L51,0)</f>
        <v>0</v>
      </c>
      <c r="M62" s="99" t="str">
        <f>IF(E62=" "," ",IF(T$60="Y",'Jul23'!M51,IF((H62+K62+L62)&gt;0,H62+K62+L62," ")))</f>
        <v xml:space="preserve"> </v>
      </c>
      <c r="N62" s="95">
        <v>0</v>
      </c>
      <c r="O62" s="89">
        <v>0</v>
      </c>
      <c r="P62" s="89">
        <v>0</v>
      </c>
      <c r="Q62" s="110">
        <v>0</v>
      </c>
      <c r="R62" s="172" t="str">
        <f>IF(M62=" "," ",IF(M62=0," ",M62-SUM(N62:Q62)))</f>
        <v xml:space="preserve"> </v>
      </c>
      <c r="S62" s="94"/>
      <c r="T62" s="99">
        <v>0</v>
      </c>
      <c r="U62" s="39"/>
      <c r="V62" s="49">
        <f>IF(Employee!H$35=E$60,Employee!D$34+SUM(M62)+'Jul23'!V51,SUM(M62)+'Jul23'!V51)</f>
        <v>0</v>
      </c>
      <c r="W62" s="49">
        <f>IF(Employee!H$35=E$60,Employee!D$35+SUM(N62)+'Jul23'!W51,SUM(N62)+'Jul23'!W51)</f>
        <v>0</v>
      </c>
      <c r="X62" s="49">
        <f>IF(O62=" ",'Jul23'!X51,O62+'Jul23'!X51)</f>
        <v>0</v>
      </c>
      <c r="Y62" s="49">
        <f>IF(P62=" ",'Jul23'!Y51,P62+'Jul23'!Y51)</f>
        <v>0</v>
      </c>
      <c r="Z62" s="49">
        <f>IF(Q62=" ",'Jul23'!Z51,Q62+'Jul23'!Z51)</f>
        <v>0</v>
      </c>
      <c r="AA62" s="49">
        <f>IF(R62=" ",'Jul23'!AA51,R62+'Jul23'!AA51)</f>
        <v>0</v>
      </c>
      <c r="AC62" s="49">
        <f>IF(T62=" ",'Jul23'!AC51,T62+'Jul23'!AC51)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",IF(Employee!F$50&gt;E$60," ",IF(Employee!F$52&lt;E$60," ",Employee!D$56)))</f>
        <v xml:space="preserve"> </v>
      </c>
      <c r="C63" s="299"/>
      <c r="D63" s="299" t="s">
        <v>106</v>
      </c>
      <c r="E63" s="112" t="str">
        <f>IF(Employee!D$54="w"," ",IF(Employee!F$50&gt;E$60," ",IF(Employee!F$52&lt;E$60," ",Employee!D$55)))</f>
        <v xml:space="preserve"> </v>
      </c>
      <c r="F63" s="118" t="str">
        <f>IF(E63=" "," ",IF(Employee!F$50&gt;E$60," ",IF(Employee!F$52&lt;E$60," ",Employee!D$41)))</f>
        <v xml:space="preserve"> </v>
      </c>
      <c r="G63" s="130"/>
      <c r="H63" s="96">
        <f>IF(T$60="Y",'Jul23'!H52,0)</f>
        <v>0</v>
      </c>
      <c r="I63" s="92">
        <f>IF(T$60="Y",'Jul23'!I52,0)</f>
        <v>0</v>
      </c>
      <c r="J63" s="92">
        <f>IF(T$60="Y",'Jul23'!J52,0)</f>
        <v>0</v>
      </c>
      <c r="K63" s="92">
        <f>IF(T$60="Y",'Jul23'!K52,I63*J63)</f>
        <v>0</v>
      </c>
      <c r="L63" s="92">
        <f>IF(T$60="Y",'Jul23'!L52,0)</f>
        <v>0</v>
      </c>
      <c r="M63" s="100" t="str">
        <f>IF(E63=" "," ",IF(T$60="Y",'Jul23'!M52,IF((H63+K63+L63)&gt;0,H63+K63+L63,"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IF(Employee!H$61=E$60,Employee!D$60+SUM(M63)+'Jul23'!V52,SUM(M63)+'Jul23'!V52)</f>
        <v>0</v>
      </c>
      <c r="W63" s="49">
        <f>IF(Employee!H$61=E$60,Employee!D$61+SUM(N63)+'Jul23'!W52,SUM(N63)+'Jul23'!W52)</f>
        <v>0</v>
      </c>
      <c r="X63" s="49">
        <f>IF(O63=" ",'Jul23'!X52,O63+'Jul23'!X52)</f>
        <v>0</v>
      </c>
      <c r="Y63" s="49">
        <f>IF(P63=" ",'Jul23'!Y52,P63+'Jul23'!Y52)</f>
        <v>0</v>
      </c>
      <c r="Z63" s="49">
        <f>IF(Q63=" ",'Jul23'!Z52,Q63+'Jul23'!Z52)</f>
        <v>0</v>
      </c>
      <c r="AA63" s="49">
        <f>IF(R63=" ",'Jul23'!AA52,R63+'Jul23'!AA52)</f>
        <v>0</v>
      </c>
      <c r="AC63" s="49">
        <f>IF(T63=" ",'Jul23'!AC52,T63+'Jul23'!AC52)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",IF(Employee!F$76&gt;E$60," ",IF(Employee!F$78&lt;E$60," ",Employee!D$82)))</f>
        <v xml:space="preserve"> </v>
      </c>
      <c r="C64" s="299"/>
      <c r="D64" s="299" t="s">
        <v>106</v>
      </c>
      <c r="E64" s="112" t="str">
        <f>IF(Employee!D$80="w"," ",IF(Employee!F$76&gt;E$60," ",IF(Employee!F$78&lt;E$60," ",Employee!D$81)))</f>
        <v xml:space="preserve"> </v>
      </c>
      <c r="F64" s="118" t="str">
        <f>IF(E64=" "," ",IF(Employee!F$76&gt;E$60," ",IF(Employee!F$78&lt;E$60," ",Employee!D$67)))</f>
        <v xml:space="preserve"> </v>
      </c>
      <c r="G64" s="130"/>
      <c r="H64" s="96">
        <f>IF(T$60="Y",'Jul23'!H53,0)</f>
        <v>0</v>
      </c>
      <c r="I64" s="92">
        <f>IF(T$60="Y",'Jul23'!I53,0)</f>
        <v>0</v>
      </c>
      <c r="J64" s="92">
        <f>IF(T$60="Y",'Jul23'!J53,0)</f>
        <v>0</v>
      </c>
      <c r="K64" s="92">
        <f>IF(T$60="Y",'Jul23'!K53,I64*J64)</f>
        <v>0</v>
      </c>
      <c r="L64" s="92">
        <f>IF(T$60="Y",'Jul23'!L53,0)</f>
        <v>0</v>
      </c>
      <c r="M64" s="100" t="str">
        <f>IF(E64=" "," ",IF(T$60="Y",'Jul23'!M53,IF((H64+K64+L64)&gt;0,H64+K64+L64,"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IF(Employee!H$87=E$60,Employee!D$86+SUM(M64)+'Jul23'!V53,SUM(M64)+'Jul23'!V53)</f>
        <v>0</v>
      </c>
      <c r="W64" s="49">
        <f>IF(Employee!H$87=E$60,Employee!D$87+SUM(N64)+'Jul23'!W53,SUM(N64)+'Jul23'!W53)</f>
        <v>0</v>
      </c>
      <c r="X64" s="49">
        <f>IF(O64=" ",'Jul23'!X53,O64+'Jul23'!X53)</f>
        <v>0</v>
      </c>
      <c r="Y64" s="49">
        <f>IF(P64=" ",'Jul23'!Y53,P64+'Jul23'!Y53)</f>
        <v>0</v>
      </c>
      <c r="Z64" s="49">
        <f>IF(Q64=" ",'Jul23'!Z53,Q64+'Jul23'!Z53)</f>
        <v>0</v>
      </c>
      <c r="AA64" s="49">
        <f>IF(R64=" ",'Jul23'!AA53,R64+'Jul23'!AA53)</f>
        <v>0</v>
      </c>
      <c r="AC64" s="49">
        <f>IF(T64=" ",'Jul23'!AC53,T64+'Jul23'!AC53)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x14ac:dyDescent="0.15">
      <c r="A65" s="34"/>
      <c r="B65" s="115" t="str">
        <f>IF(E65=" "," ",IF(Employee!F$102&gt;E$60," ",IF(Employee!F$104&lt;E$60," ",Employee!D$108)))</f>
        <v xml:space="preserve"> </v>
      </c>
      <c r="C65" s="299"/>
      <c r="D65" s="299" t="s">
        <v>106</v>
      </c>
      <c r="E65" s="112" t="str">
        <f>IF(Employee!D$106="w"," ",IF(Employee!F$102&gt;E$60," ",IF(Employee!F$104&lt;E$60," ",Employee!D$107)))</f>
        <v xml:space="preserve"> </v>
      </c>
      <c r="F65" s="118" t="str">
        <f>IF(E65=" "," ",IF(Employee!F$102&gt;E$60," ",IF(Employee!F$104&lt;E$60," ",Employee!D$93)))</f>
        <v xml:space="preserve"> </v>
      </c>
      <c r="G65" s="130"/>
      <c r="H65" s="96">
        <f>IF(T$60="Y",'Jul23'!H54,0)</f>
        <v>0</v>
      </c>
      <c r="I65" s="92">
        <f>IF(T$60="Y",'Jul23'!I54,0)</f>
        <v>0</v>
      </c>
      <c r="J65" s="92">
        <f>IF(T$60="Y",'Jul23'!J54,0)</f>
        <v>0</v>
      </c>
      <c r="K65" s="92">
        <f>IF(T$60="Y",'Jul23'!K54,I65*J65)</f>
        <v>0</v>
      </c>
      <c r="L65" s="92">
        <f>IF(T$60="Y",'Jul23'!L54,0)</f>
        <v>0</v>
      </c>
      <c r="M65" s="100" t="str">
        <f>IF(E65=" "," ",IF(T$60="Y",'Jul23'!M54,IF((H65+K65+L65)&gt;0,H65+K65+L65," ")))</f>
        <v xml:space="preserve"> </v>
      </c>
      <c r="N65" s="96">
        <v>0</v>
      </c>
      <c r="O65" s="92">
        <v>0</v>
      </c>
      <c r="P65" s="92">
        <v>0</v>
      </c>
      <c r="Q65" s="111">
        <v>0</v>
      </c>
      <c r="R65" s="173" t="str">
        <f>IF(M65=" "," ",IF(M65=0," ",M65-SUM(N65:Q65)))</f>
        <v xml:space="preserve"> </v>
      </c>
      <c r="S65" s="94"/>
      <c r="T65" s="100">
        <v>0</v>
      </c>
      <c r="U65" s="39"/>
      <c r="V65" s="49">
        <f>IF(Employee!H$113=E$60,Employee!D$112+SUM(M65)+'Jul23'!V54,SUM(M65)+'Jul23'!V54)</f>
        <v>0</v>
      </c>
      <c r="W65" s="49">
        <f>IF(Employee!H$113=E$60,Employee!D$113+SUM(N65)+'Jul23'!W54,SUM(N65)+'Jul23'!W54)</f>
        <v>0</v>
      </c>
      <c r="X65" s="49">
        <f>IF(O65=" ",'Jul23'!X54,O65+'Jul23'!X54)</f>
        <v>0</v>
      </c>
      <c r="Y65" s="49">
        <f>IF(P65=" ",'Jul23'!Y54,P65+'Jul23'!Y54)</f>
        <v>0</v>
      </c>
      <c r="Z65" s="49">
        <f>IF(Q65=" ",'Jul23'!Z54,Q65+'Jul23'!Z54)</f>
        <v>0</v>
      </c>
      <c r="AA65" s="49">
        <f>IF(R65=" ",'Jul23'!AA54,R65+'Jul23'!AA54)</f>
        <v>0</v>
      </c>
      <c r="AC65" s="49">
        <f>IF(T65=" ",'Jul23'!AC54,T65+'Jul23'!AC54)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Bot="1" x14ac:dyDescent="0.2">
      <c r="A66" s="34"/>
      <c r="B66" s="115" t="str">
        <f>IF(E66=" "," ",IF(Employee!F$128&gt;E$60," ",IF(Employee!F$130&lt;E$60," ",Employee!D$134)))</f>
        <v xml:space="preserve"> </v>
      </c>
      <c r="C66" s="299"/>
      <c r="D66" s="299" t="s">
        <v>106</v>
      </c>
      <c r="E66" s="112" t="str">
        <f>IF(Employee!D$132="w"," ",IF(Employee!F$128&gt;E$60," ",IF(Employee!F$130&lt;E$60," ",Employee!D$133)))</f>
        <v xml:space="preserve"> </v>
      </c>
      <c r="F66" s="118" t="str">
        <f>IF(E66=" "," ",IF(Employee!F$128&gt;E$60," ",IF(Employee!F$130&lt;E$60," ",Employee!D$119)))</f>
        <v xml:space="preserve"> </v>
      </c>
      <c r="G66" s="130"/>
      <c r="H66" s="96">
        <f>IF(T$60="Y",'Jul23'!H55,0)</f>
        <v>0</v>
      </c>
      <c r="I66" s="92">
        <f>IF(T$60="Y",'Jul23'!I55,0)</f>
        <v>0</v>
      </c>
      <c r="J66" s="92">
        <f>IF(T$60="Y",'Jul23'!J55,0)</f>
        <v>0</v>
      </c>
      <c r="K66" s="92">
        <f>IF(T$60="Y",'Jul23'!K55,I66*J66)</f>
        <v>0</v>
      </c>
      <c r="L66" s="92">
        <f>IF(T$60="Y",'Jul23'!L55,0)</f>
        <v>0</v>
      </c>
      <c r="M66" s="100" t="str">
        <f>IF(E66=" "," ",IF(T$60="Y",'Jul23'!M55,IF((H66+K66+L66)&gt;0,H66+K66+L66," ")))</f>
        <v xml:space="preserve"> </v>
      </c>
      <c r="N66" s="244">
        <v>0</v>
      </c>
      <c r="O66" s="245">
        <v>0</v>
      </c>
      <c r="P66" s="245">
        <v>0</v>
      </c>
      <c r="Q66" s="246">
        <v>0</v>
      </c>
      <c r="R66" s="173" t="str">
        <f>IF(M66=" "," ",IF(M66=0," ",M66-SUM(N66:Q66)))</f>
        <v xml:space="preserve"> </v>
      </c>
      <c r="S66" s="94"/>
      <c r="T66" s="247">
        <v>0</v>
      </c>
      <c r="U66" s="39"/>
      <c r="V66" s="49">
        <f>IF(Employee!H$139=E$60,Employee!D$138+SUM(M66)+'Jul23'!V55,SUM(M66)+'Jul23'!V55)</f>
        <v>0</v>
      </c>
      <c r="W66" s="49">
        <f>IF(Employee!H$139=E$60,Employee!D$139+SUM(N66)+'Jul23'!W55,SUM(N66)+'Jul23'!W55)</f>
        <v>0</v>
      </c>
      <c r="X66" s="49">
        <f>IF(O66=" ",'Jul23'!X55,O66+'Jul23'!X55)</f>
        <v>0</v>
      </c>
      <c r="Y66" s="49">
        <f>IF(P66=" ",'Jul23'!Y55,P66+'Jul23'!Y55)</f>
        <v>0</v>
      </c>
      <c r="Z66" s="49">
        <f>IF(Q66=" ",'Jul23'!Z55,Q66+'Jul23'!Z55)</f>
        <v>0</v>
      </c>
      <c r="AA66" s="49">
        <f>IF(R66=" ",'Jul23'!AA55,R66+'Jul23'!AA55)</f>
        <v>0</v>
      </c>
      <c r="AC66" s="49">
        <f>IF(T66=" ",'Jul23'!AC55,T66+'Jul23'!AC55)</f>
        <v>0</v>
      </c>
      <c r="AD66" s="76">
        <f>IF(G66="SSP",H66,0)</f>
        <v>0</v>
      </c>
      <c r="AE66" s="76">
        <f>IF(G66="SMP",H66,0)</f>
        <v>0</v>
      </c>
      <c r="AF66" s="76">
        <f>IF(G66="SPP",H66,0)</f>
        <v>0</v>
      </c>
      <c r="AG66" s="76">
        <f>IF(G66="SAP",H66,0)</f>
        <v>0</v>
      </c>
      <c r="AH66" s="35"/>
    </row>
    <row r="67" spans="1:34" ht="18" customHeight="1" thickTop="1" thickBot="1" x14ac:dyDescent="0.2">
      <c r="A67" s="38"/>
      <c r="B67" s="123"/>
      <c r="C67" s="121"/>
      <c r="D67" s="121"/>
      <c r="E67" s="122"/>
      <c r="F67" s="411" t="s">
        <v>7</v>
      </c>
      <c r="G67" s="409"/>
      <c r="H67" s="101"/>
      <c r="I67" s="102"/>
      <c r="J67" s="102"/>
      <c r="K67" s="134"/>
      <c r="L67" s="134"/>
      <c r="M67" s="127">
        <f t="shared" ref="M67:R67" si="17">SUM(M62:M66)</f>
        <v>0</v>
      </c>
      <c r="N67" s="127">
        <f t="shared" si="17"/>
        <v>0</v>
      </c>
      <c r="O67" s="127">
        <f t="shared" si="17"/>
        <v>0</v>
      </c>
      <c r="P67" s="127">
        <f t="shared" si="17"/>
        <v>0</v>
      </c>
      <c r="Q67" s="127">
        <f t="shared" si="17"/>
        <v>0</v>
      </c>
      <c r="R67" s="127">
        <f t="shared" si="17"/>
        <v>0</v>
      </c>
      <c r="S67" s="94"/>
      <c r="T67" s="127">
        <f>SUM(T62:T66)</f>
        <v>0</v>
      </c>
      <c r="U67" s="40"/>
      <c r="V67" s="49"/>
      <c r="AH67" s="35"/>
    </row>
    <row r="68" spans="1:34" ht="24" customHeight="1" x14ac:dyDescent="0.15">
      <c r="B68" s="403"/>
      <c r="C68" s="403"/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35"/>
    </row>
    <row r="69" spans="1:34" ht="12.75" customHeight="1" x14ac:dyDescent="0.15">
      <c r="AD69" s="157">
        <f>SUM(AD11:AD67)</f>
        <v>0</v>
      </c>
      <c r="AE69" s="157">
        <f>SUM(AE11:AE67)</f>
        <v>0</v>
      </c>
      <c r="AF69" s="157">
        <f>SUM(AF11:AF67)</f>
        <v>0</v>
      </c>
      <c r="AG69" s="157">
        <f>SUM(AG11:AG67)</f>
        <v>0</v>
      </c>
    </row>
    <row r="70" spans="1:34" ht="13.5" customHeight="1" thickBot="1" x14ac:dyDescent="0.2">
      <c r="F70" s="181" t="s">
        <v>70</v>
      </c>
      <c r="G70" s="180"/>
      <c r="H70" s="180"/>
      <c r="M70" s="390" t="s">
        <v>73</v>
      </c>
      <c r="N70" s="391"/>
      <c r="O70" s="391"/>
      <c r="P70" s="391"/>
      <c r="Q70" s="391"/>
      <c r="R70" s="391"/>
      <c r="T70" s="183"/>
    </row>
    <row r="71" spans="1:34" ht="12.75" customHeight="1" x14ac:dyDescent="0.15">
      <c r="F71" s="198" t="str">
        <f>IF(B62="D",Employee!D15," ")</f>
        <v xml:space="preserve"> </v>
      </c>
      <c r="M71" s="185" t="str">
        <f>IF(B62="D",M62," ")</f>
        <v xml:space="preserve"> </v>
      </c>
      <c r="N71" s="186" t="str">
        <f>IF(B62="D",N62," ")</f>
        <v xml:space="preserve"> </v>
      </c>
      <c r="O71" s="186" t="str">
        <f>IF(B62="D",O62," ")</f>
        <v xml:space="preserve"> </v>
      </c>
      <c r="P71" s="186" t="str">
        <f>IF(B62="D",P62," ")</f>
        <v xml:space="preserve"> </v>
      </c>
      <c r="Q71" s="186" t="str">
        <f>IF(B62="D",Q62," ")</f>
        <v xml:space="preserve"> </v>
      </c>
      <c r="R71" s="187" t="str">
        <f>IF(B62="D",R62," ")</f>
        <v xml:space="preserve"> </v>
      </c>
      <c r="S71" s="188"/>
      <c r="T71" s="189" t="str">
        <f>IF(B62="D",T62," ")</f>
        <v xml:space="preserve"> </v>
      </c>
      <c r="AD71" s="159">
        <f>IF((AD69-(O1+T1)*0.13)&gt;0,AD69-(Q1+T1)*0.13,0)</f>
        <v>0</v>
      </c>
      <c r="AE71" s="159">
        <f>AE69</f>
        <v>0</v>
      </c>
      <c r="AF71" s="159">
        <f>AF69</f>
        <v>0</v>
      </c>
      <c r="AG71" s="159">
        <f>AG69</f>
        <v>0</v>
      </c>
    </row>
    <row r="72" spans="1:34" x14ac:dyDescent="0.15">
      <c r="F72" s="198" t="str">
        <f>IF(B63="D",Employee!D41,"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</row>
    <row r="73" spans="1:34" ht="12.75" customHeight="1" x14ac:dyDescent="0.15">
      <c r="F73" s="198" t="str">
        <f>IF(B64="D",Employee!D67,"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  <c r="AD73" s="162"/>
      <c r="AE73" s="159">
        <f>AE71*0.045</f>
        <v>0</v>
      </c>
      <c r="AF73" s="159">
        <f>AF71*0.045</f>
        <v>0</v>
      </c>
      <c r="AG73" s="159">
        <f>AG71*0.045</f>
        <v>0</v>
      </c>
    </row>
    <row r="74" spans="1:34" x14ac:dyDescent="0.15">
      <c r="F74" s="198" t="str">
        <f>IF(B65="D",Employee!D93," ")</f>
        <v xml:space="preserve"> </v>
      </c>
      <c r="M74" s="190" t="str">
        <f>IF(B65="D",M65," ")</f>
        <v xml:space="preserve"> </v>
      </c>
      <c r="N74" s="191" t="str">
        <f>IF(B65="D",N65," ")</f>
        <v xml:space="preserve"> </v>
      </c>
      <c r="O74" s="191" t="str">
        <f>IF(B65="D",O65," ")</f>
        <v xml:space="preserve"> </v>
      </c>
      <c r="P74" s="191" t="str">
        <f>IF(B65="D",P65," ")</f>
        <v xml:space="preserve"> </v>
      </c>
      <c r="Q74" s="191" t="str">
        <f>IF(B65="D",Q65," ")</f>
        <v xml:space="preserve"> </v>
      </c>
      <c r="R74" s="192" t="str">
        <f>IF(B65="D",R65," ")</f>
        <v xml:space="preserve"> </v>
      </c>
      <c r="S74" s="188"/>
      <c r="T74" s="193" t="str">
        <f>IF(B65="D",T65," ")</f>
        <v xml:space="preserve"> </v>
      </c>
    </row>
    <row r="75" spans="1:34" ht="14" thickBot="1" x14ac:dyDescent="0.2">
      <c r="F75" s="198" t="str">
        <f>IF(B66="D",Employee!D119," ")</f>
        <v xml:space="preserve"> </v>
      </c>
      <c r="M75" s="194" t="str">
        <f>IF(B66="D",M66," ")</f>
        <v xml:space="preserve"> </v>
      </c>
      <c r="N75" s="195" t="str">
        <f>IF(B66="D",N66," ")</f>
        <v xml:space="preserve"> </v>
      </c>
      <c r="O75" s="195" t="str">
        <f>IF(B66="D",O66," ")</f>
        <v xml:space="preserve"> </v>
      </c>
      <c r="P75" s="195" t="str">
        <f>IF(B66="D",P66," ")</f>
        <v xml:space="preserve"> </v>
      </c>
      <c r="Q75" s="195" t="str">
        <f>IF(B66="D",Q66," ")</f>
        <v xml:space="preserve"> </v>
      </c>
      <c r="R75" s="196" t="str">
        <f>IF(B66="D",R66," ")</f>
        <v xml:space="preserve"> </v>
      </c>
      <c r="S75" s="188"/>
      <c r="T75" s="197" t="str">
        <f>IF(B66="D",T66," ")</f>
        <v xml:space="preserve"> </v>
      </c>
    </row>
    <row r="76" spans="1:34" ht="14" thickBot="1" x14ac:dyDescent="0.2">
      <c r="F76" s="182" t="s">
        <v>72</v>
      </c>
      <c r="M76" s="184">
        <f t="shared" ref="M76:R76" si="18">SUM(M71:M75)</f>
        <v>0</v>
      </c>
      <c r="N76" s="184">
        <f t="shared" si="18"/>
        <v>0</v>
      </c>
      <c r="O76" s="184">
        <f t="shared" si="18"/>
        <v>0</v>
      </c>
      <c r="P76" s="184">
        <f t="shared" si="18"/>
        <v>0</v>
      </c>
      <c r="Q76" s="184">
        <f t="shared" si="18"/>
        <v>0</v>
      </c>
      <c r="R76" s="184">
        <f t="shared" si="18"/>
        <v>0</v>
      </c>
      <c r="S76" s="188"/>
      <c r="T76" s="184">
        <f>SUM(T71:T75)</f>
        <v>0</v>
      </c>
      <c r="AD76" s="158">
        <f>AD71+'Jul23'!AD65</f>
        <v>0</v>
      </c>
      <c r="AE76" s="158">
        <f>AE71+'Jul23'!AE65</f>
        <v>0</v>
      </c>
      <c r="AF76" s="158">
        <f>AF71+'Jul23'!AF65</f>
        <v>0</v>
      </c>
      <c r="AG76" s="158">
        <f>AG71+'Jul23'!AG65</f>
        <v>0</v>
      </c>
    </row>
    <row r="77" spans="1:34" ht="14" thickTop="1" x14ac:dyDescent="0.15"/>
    <row r="78" spans="1:34" x14ac:dyDescent="0.15">
      <c r="AD78" s="162"/>
      <c r="AE78" s="158">
        <f>AE73+'Jul23'!AE67</f>
        <v>0</v>
      </c>
      <c r="AF78" s="158">
        <f>AF73+'Jul23'!AF67</f>
        <v>0</v>
      </c>
      <c r="AG78" s="158">
        <f>AG73+'Jul23'!AG67</f>
        <v>0</v>
      </c>
    </row>
  </sheetData>
  <mergeCells count="86"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7:G67"/>
    <mergeCell ref="B37:T37"/>
    <mergeCell ref="B38:E38"/>
    <mergeCell ref="B39:D39"/>
    <mergeCell ref="H39:J39"/>
    <mergeCell ref="O39:R39"/>
    <mergeCell ref="F46:G46"/>
    <mergeCell ref="B58:T58"/>
    <mergeCell ref="B59:E59"/>
    <mergeCell ref="B60:D60"/>
    <mergeCell ref="H60:J60"/>
    <mergeCell ref="O60:R60"/>
    <mergeCell ref="O59:Q59"/>
    <mergeCell ref="B48:E48"/>
    <mergeCell ref="O48:Q48"/>
    <mergeCell ref="R48:T48"/>
    <mergeCell ref="AD1:AG2"/>
    <mergeCell ref="AD3:AD6"/>
    <mergeCell ref="AE3:AE6"/>
    <mergeCell ref="AF3:AF6"/>
    <mergeCell ref="AG3:AG6"/>
    <mergeCell ref="M70:R70"/>
    <mergeCell ref="B1:F2"/>
    <mergeCell ref="V1:AC2"/>
    <mergeCell ref="R59:T59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8:T68"/>
  </mergeCells>
  <phoneticPr fontId="6" type="noConversion"/>
  <dataValidations count="1">
    <dataValidation type="list" allowBlank="1" showInputMessage="1" showErrorMessage="1" sqref="G62:G66 G31:G35 G11:G15 G21:G25 G41:G45 G51:G5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SUM(AD60:AG60)+SUM(AE62:AG62)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23</v>
      </c>
      <c r="F9" s="35"/>
      <c r="G9" s="35"/>
      <c r="H9" s="410" t="s">
        <v>28</v>
      </c>
      <c r="I9" s="408"/>
      <c r="J9" s="409"/>
      <c r="K9" s="204">
        <f>'Aug23'!M49+1</f>
        <v>45173</v>
      </c>
      <c r="L9" s="203" t="s">
        <v>75</v>
      </c>
      <c r="M9" s="205">
        <f>K9+6</f>
        <v>45179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IF(T$9="Y",'Aug23'!H51,0)</f>
        <v>0</v>
      </c>
      <c r="I11" s="89">
        <f>IF(T$9="Y",'Aug23'!I51,0)</f>
        <v>0</v>
      </c>
      <c r="J11" s="89">
        <f>IF(T$9="Y",'Aug23'!J51,0)</f>
        <v>0</v>
      </c>
      <c r="K11" s="89">
        <f>IF(T$9="Y",'Aug23'!K51,I11*J11)</f>
        <v>0</v>
      </c>
      <c r="L11" s="110">
        <f>IF(T$9="Y",'Aug23'!L51,0)</f>
        <v>0</v>
      </c>
      <c r="M11" s="110" t="str">
        <f>IF(E11=" "," ",IF(T$9="Y",'Aug23'!M51,IF((H11+K11+L11)&gt;0,H11+K11+L11,"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IF(Employee!H$34=E$9,Employee!D$34+SUM(M11)+'Aug23'!V51,SUM(M11)+'Aug23'!V51)</f>
        <v>0</v>
      </c>
      <c r="W11" s="49">
        <f>IF(Employee!H$34=E$9,Employee!D$35+SUM(N11)+'Aug23'!W51,SUM(N11)+'Aug23'!W51)</f>
        <v>0</v>
      </c>
      <c r="X11" s="49">
        <f>IF(O11=" ",'Aug23'!X51,O11+'Aug23'!X51)</f>
        <v>0</v>
      </c>
      <c r="Y11" s="49">
        <f>IF(P11=" ",'Aug23'!Y51,P11+'Aug23'!Y51)</f>
        <v>0</v>
      </c>
      <c r="Z11" s="49">
        <f>IF(Q11=" ",'Aug23'!Z51,Q11+'Aug23'!Z51)</f>
        <v>0</v>
      </c>
      <c r="AA11" s="49">
        <f>IF(R11=" ",'Aug23'!AA51,R11+'Aug23'!AA51)</f>
        <v>0</v>
      </c>
      <c r="AC11" s="49">
        <f>IF(T11=" ",'Aug23'!AC51,T11+'Aug23'!AC51)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IF(T$9="Y",'Aug23'!H452,0)</f>
        <v>0</v>
      </c>
      <c r="I12" s="92">
        <f>IF(T$9="Y",'Aug23'!I52,0)</f>
        <v>0</v>
      </c>
      <c r="J12" s="92">
        <f>IF(T$9="Y",'Aug23'!J52,0)</f>
        <v>0</v>
      </c>
      <c r="K12" s="92">
        <f>IF(T$9="Y",'Aug23'!K52,I12*J12)</f>
        <v>0</v>
      </c>
      <c r="L12" s="111">
        <f>IF(T$9="Y",'Aug23'!L52,0)</f>
        <v>0</v>
      </c>
      <c r="M12" s="111" t="str">
        <f>IF(E12=" "," ",IF(T$9="Y",'Aug23'!M52,IF((H12+K12+L12)&gt;0,H12+K12+L12,"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IF(Employee!H$60=E$9,Employee!D$60+SUM(M12)+'Aug23'!V52,SUM(M12)+'Aug23'!V52)</f>
        <v>0</v>
      </c>
      <c r="W12" s="49">
        <f>IF(Employee!H$60=E$9,Employee!D$61+SUM(N12)+'Aug23'!W52,SUM(N12)+'Aug23'!W52)</f>
        <v>0</v>
      </c>
      <c r="X12" s="49">
        <f>IF(O12=" ",'Aug23'!X52,O12+'Aug23'!X52)</f>
        <v>0</v>
      </c>
      <c r="Y12" s="49">
        <f>IF(P12=" ",'Aug23'!Y52,P12+'Aug23'!Y52)</f>
        <v>0</v>
      </c>
      <c r="Z12" s="49">
        <f>IF(Q12=" ",'Aug23'!Z52,Q12+'Aug23'!Z52)</f>
        <v>0</v>
      </c>
      <c r="AA12" s="49">
        <f>IF(R12=" ",'Aug23'!AA52,R12+'Aug23'!AA52)</f>
        <v>0</v>
      </c>
      <c r="AC12" s="49">
        <f>IF(T12=" ",'Aug23'!AC52,T12+'Aug23'!AC52)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IF(T$9="Y",'Aug23'!H53,0)</f>
        <v>0</v>
      </c>
      <c r="I13" s="89">
        <f>IF(T$9="Y",'Aug23'!I53,0)</f>
        <v>0</v>
      </c>
      <c r="J13" s="89">
        <f>IF(T$9="Y",'Aug23'!J53,0)</f>
        <v>0</v>
      </c>
      <c r="K13" s="89">
        <f>IF(T$9="Y",'Aug23'!K53,I13*J13)</f>
        <v>0</v>
      </c>
      <c r="L13" s="110">
        <f>IF(T$9="Y",'Aug23'!L53,0)</f>
        <v>0</v>
      </c>
      <c r="M13" s="110" t="str">
        <f>IF(E13=" "," ",IF(T$9="Y",'Aug23'!M53,IF((H13+K13+L13)&gt;0,H13+K13+L13,"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IF(Employee!H$86=E$9,Employee!D$86+SUM(M13)+'Aug23'!V53,SUM(M13)+'Aug23'!V53)</f>
        <v>0</v>
      </c>
      <c r="W13" s="49">
        <f>IF(Employee!H$86=E$9,Employee!D$87+SUM(N13)+'Aug23'!W53,SUM(N13)+'Aug23'!W53)</f>
        <v>0</v>
      </c>
      <c r="X13" s="49">
        <f>IF(O13=" ",'Aug23'!X53,O13+'Aug23'!X53)</f>
        <v>0</v>
      </c>
      <c r="Y13" s="49">
        <f>IF(P13=" ",'Aug23'!Y53,P13+'Aug23'!Y53)</f>
        <v>0</v>
      </c>
      <c r="Z13" s="49">
        <f>IF(Q13=" ",'Aug23'!Z53,Q13+'Aug23'!Z53)</f>
        <v>0</v>
      </c>
      <c r="AA13" s="49">
        <f>IF(R13=" ",'Aug23'!AA53,R13+'Aug23'!AA53)</f>
        <v>0</v>
      </c>
      <c r="AC13" s="49">
        <f>IF(T13=" ",'Aug23'!AC53,T13+'Aug23'!AC53)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IF(T$9="Y",'Aug23'!H454,0)</f>
        <v>0</v>
      </c>
      <c r="I14" s="92">
        <f>IF(T$9="Y",'Aug23'!I54,0)</f>
        <v>0</v>
      </c>
      <c r="J14" s="92">
        <f>IF(T$9="Y",'Aug23'!J54,0)</f>
        <v>0</v>
      </c>
      <c r="K14" s="92">
        <f>IF(T$9="Y",'Aug23'!K54,I14*J14)</f>
        <v>0</v>
      </c>
      <c r="L14" s="111">
        <f>IF(T$9="Y",'Aug23'!L54,0)</f>
        <v>0</v>
      </c>
      <c r="M14" s="111" t="str">
        <f>IF(E14=" "," ",IF(T$9="Y",'Aug23'!M54,IF((H14+K14+L14)&gt;0,H14+K14+L14,"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IF(Employee!H$112=E$9,Employee!D$112+SUM(M14)+'Aug23'!V54,SUM(M14)+'Aug23'!V54)</f>
        <v>0</v>
      </c>
      <c r="W14" s="49">
        <f>IF(Employee!H$112=E$9,Employee!D$113+SUM(N14)+'Aug23'!W54,SUM(N14)+'Aug23'!W54)</f>
        <v>0</v>
      </c>
      <c r="X14" s="49">
        <f>IF(O14=" ",'Aug23'!X54,O14+'Aug23'!X54)</f>
        <v>0</v>
      </c>
      <c r="Y14" s="49">
        <f>IF(P14=" ",'Aug23'!Y54,P14+'Aug23'!Y54)</f>
        <v>0</v>
      </c>
      <c r="Z14" s="49">
        <f>IF(Q14=" ",'Aug23'!Z54,Q14+'Aug23'!Z54)</f>
        <v>0</v>
      </c>
      <c r="AA14" s="49">
        <f>IF(R14=" ",'Aug23'!AA54,R14+'Aug23'!AA54)</f>
        <v>0</v>
      </c>
      <c r="AC14" s="49">
        <f>IF(T14=" ",'Aug23'!AC54,T14+'Aug23'!AC54)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IF(T$9="Y",'Aug23'!H55,0)</f>
        <v>0</v>
      </c>
      <c r="I15" s="89">
        <f>IF(T$9="Y",'Aug23'!I55,0)</f>
        <v>0</v>
      </c>
      <c r="J15" s="89">
        <f>IF(T$9="Y",'Aug23'!J55,0)</f>
        <v>0</v>
      </c>
      <c r="K15" s="89">
        <f>IF(T$9="Y",'Aug23'!K55,I15*J15)</f>
        <v>0</v>
      </c>
      <c r="L15" s="110">
        <f>IF(T$9="Y",'Aug23'!L55,0)</f>
        <v>0</v>
      </c>
      <c r="M15" s="110" t="str">
        <f>IF(E15=" "," ",IF(T$9="Y",'Aug23'!M55,IF((H15+K15+L15)&gt;0,H15+K15+L15,"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IF(Employee!H$138=E$9,Employee!D$138+SUM(M15)+'Aug23'!V55,SUM(M15)+'Aug23'!V55)</f>
        <v>0</v>
      </c>
      <c r="W15" s="49">
        <f>IF(Employee!H$138=E$9,Employee!D$139+SUM(N15)+'Aug23'!W55,SUM(N15)+'Aug23'!W55)</f>
        <v>0</v>
      </c>
      <c r="X15" s="49">
        <f>IF(O15=" ",'Aug23'!X55,O15+'Aug23'!X55)</f>
        <v>0</v>
      </c>
      <c r="Y15" s="49">
        <f>IF(P15=" ",'Aug23'!Y55,P15+'Aug23'!Y55)</f>
        <v>0</v>
      </c>
      <c r="Z15" s="49">
        <f>IF(Q15=" ",'Aug23'!Z55,Q15+'Aug23'!Z55)</f>
        <v>0</v>
      </c>
      <c r="AA15" s="49">
        <f>IF(R15=" ",'Aug23'!AA55,R15+'Aug23'!AA55)</f>
        <v>0</v>
      </c>
      <c r="AC15" s="49">
        <f>IF(T15=" ",'Aug23'!AC55,T15+'Aug23'!AC55)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24</v>
      </c>
      <c r="F19" s="35"/>
      <c r="G19" s="35"/>
      <c r="H19" s="410" t="s">
        <v>28</v>
      </c>
      <c r="I19" s="408"/>
      <c r="J19" s="409"/>
      <c r="K19" s="204">
        <f>M9+1</f>
        <v>45180</v>
      </c>
      <c r="L19" s="203" t="s">
        <v>75</v>
      </c>
      <c r="M19" s="205">
        <f>K19+6</f>
        <v>45186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25</v>
      </c>
      <c r="F29" s="35"/>
      <c r="G29" s="35"/>
      <c r="H29" s="410" t="s">
        <v>28</v>
      </c>
      <c r="I29" s="408"/>
      <c r="J29" s="409"/>
      <c r="K29" s="204">
        <f>M19+1</f>
        <v>45187</v>
      </c>
      <c r="L29" s="203" t="s">
        <v>75</v>
      </c>
      <c r="M29" s="205">
        <f>K29+6</f>
        <v>45193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26</v>
      </c>
      <c r="F39" s="35"/>
      <c r="G39" s="35"/>
      <c r="H39" s="410" t="s">
        <v>28</v>
      </c>
      <c r="I39" s="464"/>
      <c r="J39" s="465"/>
      <c r="K39" s="204">
        <f>M29+1</f>
        <v>45194</v>
      </c>
      <c r="L39" s="203" t="s">
        <v>75</v>
      </c>
      <c r="M39" s="205">
        <f>K39+6</f>
        <v>45200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6</v>
      </c>
      <c r="F49" s="35"/>
      <c r="G49" s="35"/>
      <c r="H49" s="410" t="s">
        <v>28</v>
      </c>
      <c r="I49" s="408"/>
      <c r="J49" s="409"/>
      <c r="K49" s="204">
        <f>Admin!B150</f>
        <v>45170</v>
      </c>
      <c r="L49" s="203" t="s">
        <v>75</v>
      </c>
      <c r="M49" s="205">
        <f>Admin!B179</f>
        <v>45199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IF(T$49="Y",'Aug23'!H62,0)</f>
        <v>0</v>
      </c>
      <c r="I51" s="89">
        <f>IF(T$49="Y",'Aug23'!I62,0)</f>
        <v>0</v>
      </c>
      <c r="J51" s="89">
        <f>IF(T$49="Y",'Aug23'!J62,0)</f>
        <v>0</v>
      </c>
      <c r="K51" s="89">
        <f>IF(T$49="Y",'Aug23'!K62,I51*J51)</f>
        <v>0</v>
      </c>
      <c r="L51" s="110">
        <f>IF(T$49="Y",'Aug23'!L62,0)</f>
        <v>0</v>
      </c>
      <c r="M51" s="99" t="str">
        <f>IF(E51=" "," ",IF(T$49="Y",'Aug23'!M62,IF((H51+K51+L51)&gt;0,H51+K51+L51,"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IF(Employee!H$35=E$49,Employee!D$34+SUM(M51)+'Aug23'!V62,SUM(M51)+'Aug23'!V62)</f>
        <v>0</v>
      </c>
      <c r="W51" s="49">
        <f>IF(Employee!H$35=E$49,Employee!D$35+SUM(N51)+'Aug23'!W62,SUM(N51)+'Aug23'!W62)</f>
        <v>0</v>
      </c>
      <c r="X51" s="49">
        <f>IF(O51=" ",'Aug23'!X62,O51+'Aug23'!X62)</f>
        <v>0</v>
      </c>
      <c r="Y51" s="49">
        <f>IF(P51=" ",'Aug23'!Y62,P51+'Aug23'!Y62)</f>
        <v>0</v>
      </c>
      <c r="Z51" s="49">
        <f>IF(Q51=" ",'Aug23'!Z62,Q51+'Aug23'!Z62)</f>
        <v>0</v>
      </c>
      <c r="AA51" s="49">
        <f>IF(R51=" ",'Aug23'!AA62,R51+'Aug23'!AA62)</f>
        <v>0</v>
      </c>
      <c r="AC51" s="49">
        <f>IF(T51=" ",'Aug23'!AC62,T51+'Aug23'!AC62)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IF(T$49="Y",'Aug23'!H63,0)</f>
        <v>0</v>
      </c>
      <c r="I52" s="92">
        <f>IF(T$49="Y",'Aug23'!I63,0)</f>
        <v>0</v>
      </c>
      <c r="J52" s="92">
        <f>IF(T$49="Y",'Aug23'!J63,0)</f>
        <v>0</v>
      </c>
      <c r="K52" s="92">
        <f>IF(T$49="Y",'Aug23'!K63,I52*J52)</f>
        <v>0</v>
      </c>
      <c r="L52" s="111">
        <f>IF(T$49="Y",'Aug23'!L63,0)</f>
        <v>0</v>
      </c>
      <c r="M52" s="100" t="str">
        <f>IF(E52=" "," ",IF(T$49="Y",'Aug23'!M63,IF((H52+K52+L52)&gt;0,H52+K52+L52,"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IF(Employee!H$61=E$49,Employee!D$60+SUM(M52)+'Aug23'!V63,SUM(M52)+'Aug23'!V63)</f>
        <v>0</v>
      </c>
      <c r="W52" s="49">
        <f>IF(Employee!H$61=E$49,Employee!D$61+SUM(N52)+'Aug23'!W63,SUM(N52)+'Aug23'!W63)</f>
        <v>0</v>
      </c>
      <c r="X52" s="49">
        <f>IF(O52=" ",'Aug23'!X63,O52+'Aug23'!X63)</f>
        <v>0</v>
      </c>
      <c r="Y52" s="49">
        <f>IF(P52=" ",'Aug23'!Y63,P52+'Aug23'!Y63)</f>
        <v>0</v>
      </c>
      <c r="Z52" s="49">
        <f>IF(Q52=" ",'Aug23'!Z63,Q52+'Aug23'!Z63)</f>
        <v>0</v>
      </c>
      <c r="AA52" s="49">
        <f>IF(R52=" ",'Aug23'!AA63,R52+'Aug23'!AA63)</f>
        <v>0</v>
      </c>
      <c r="AC52" s="49">
        <f>IF(T52=" ",'Aug23'!AC63,T52+'Aug23'!AC63)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IF(T$49="Y",'Aug23'!H64,0)</f>
        <v>0</v>
      </c>
      <c r="I53" s="92">
        <f>IF(T$49="Y",'Aug23'!I64,0)</f>
        <v>0</v>
      </c>
      <c r="J53" s="92">
        <f>IF(T$49="Y",'Aug23'!J64,0)</f>
        <v>0</v>
      </c>
      <c r="K53" s="92">
        <f>IF(T$49="Y",'Aug23'!K64,I53*J53)</f>
        <v>0</v>
      </c>
      <c r="L53" s="111">
        <f>IF(T$49="Y",'Aug23'!L64,0)</f>
        <v>0</v>
      </c>
      <c r="M53" s="100" t="str">
        <f>IF(E53=" "," ",IF(T$49="Y",'Aug23'!M64,IF((H53+K53+L53)&gt;0,H53+K53+L53,"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IF(Employee!H$87=E$49,Employee!D$86+SUM(M53)+'Aug23'!V64,SUM(M53)+'Aug23'!V64)</f>
        <v>0</v>
      </c>
      <c r="W53" s="49">
        <f>IF(Employee!H$87=E$49,Employee!D$87+SUM(N53)+'Aug23'!W64,SUM(N53)+'Aug23'!W64)</f>
        <v>0</v>
      </c>
      <c r="X53" s="49">
        <f>IF(O53=" ",'Aug23'!X64,O53+'Aug23'!X64)</f>
        <v>0</v>
      </c>
      <c r="Y53" s="49">
        <f>IF(P53=" ",'Aug23'!Y64,P53+'Aug23'!Y64)</f>
        <v>0</v>
      </c>
      <c r="Z53" s="49">
        <f>IF(Q53=" ",'Aug23'!Z64,Q53+'Aug23'!Z64)</f>
        <v>0</v>
      </c>
      <c r="AA53" s="49">
        <f>IF(R53=" ",'Aug23'!AA64,R53+'Aug23'!AA64)</f>
        <v>0</v>
      </c>
      <c r="AC53" s="49">
        <f>IF(T53=" ",'Aug23'!AC64,T53+'Aug23'!AC64)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IF(T$49="Y",'Aug23'!H65,0)</f>
        <v>0</v>
      </c>
      <c r="I54" s="92">
        <f>IF(T$49="Y",'Aug23'!I65,0)</f>
        <v>0</v>
      </c>
      <c r="J54" s="92">
        <f>IF(T$49="Y",'Aug23'!J65,0)</f>
        <v>0</v>
      </c>
      <c r="K54" s="92">
        <f>IF(T$49="Y",'Aug23'!K65,I54*J54)</f>
        <v>0</v>
      </c>
      <c r="L54" s="111">
        <f>IF(T$49="Y",'Aug23'!L65,0)</f>
        <v>0</v>
      </c>
      <c r="M54" s="100" t="str">
        <f>IF(E54=" "," ",IF(T$49="Y",'Aug23'!M65,IF((H54+K54+L54)&gt;0,H54+K54+L54,"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IF(Employee!H$113=E$49,Employee!D$112+SUM(M54)+'Aug23'!V65,SUM(M54)+'Aug23'!V65)</f>
        <v>0</v>
      </c>
      <c r="W54" s="49">
        <f>IF(Employee!H$113=E$49,Employee!D$113+SUM(N54)+'Aug23'!W65,SUM(N54)+'Aug23'!W65)</f>
        <v>0</v>
      </c>
      <c r="X54" s="49">
        <f>IF(O54=" ",'Aug23'!X65,O54+'Aug23'!X65)</f>
        <v>0</v>
      </c>
      <c r="Y54" s="49">
        <f>IF(P54=" ",'Aug23'!Y65,P54+'Aug23'!Y65)</f>
        <v>0</v>
      </c>
      <c r="Z54" s="49">
        <f>IF(Q54=" ",'Aug23'!Z65,Q54+'Aug23'!Z65)</f>
        <v>0</v>
      </c>
      <c r="AA54" s="49">
        <f>IF(R54=" ",'Aug23'!AA65,R54+'Aug23'!AA65)</f>
        <v>0</v>
      </c>
      <c r="AC54" s="49">
        <f>IF(T54=" ",'Aug23'!AC65,T54+'Aug23'!AC65)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IF(T$49="Y",'Aug23'!H66,0)</f>
        <v>0</v>
      </c>
      <c r="I55" s="245">
        <f>IF(T$49="Y",'Aug23'!I66,0)</f>
        <v>0</v>
      </c>
      <c r="J55" s="245">
        <f>IF(T$49="Y",'Aug23'!J66,0)</f>
        <v>0</v>
      </c>
      <c r="K55" s="245">
        <f>IF(T$49="Y",'Aug23'!K66,I55*J55)</f>
        <v>0</v>
      </c>
      <c r="L55" s="246">
        <f>IF(T$49="Y",'Aug23'!L66,0)</f>
        <v>0</v>
      </c>
      <c r="M55" s="100" t="str">
        <f>IF(E55=" "," ",IF(T$49="Y",'Aug23'!M66,IF((H55+K55+L55)&gt;0,H55+K55+L55,"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IF(Employee!H$139=E$49,Employee!D$138+SUM(M55)+'Aug23'!V66,SUM(M55)+'Aug23'!V66)</f>
        <v>0</v>
      </c>
      <c r="W55" s="49">
        <f>IF(Employee!H$139=E$49,Employee!D$139+SUM(N55)+'Aug23'!W66,SUM(N55)+'Aug23'!W66)</f>
        <v>0</v>
      </c>
      <c r="X55" s="49">
        <f>IF(O55=" ",'Aug23'!X66,O55+'Aug23'!X66)</f>
        <v>0</v>
      </c>
      <c r="Y55" s="49">
        <f>IF(P55=" ",'Aug23'!Y66,P55+'Aug23'!Y66)</f>
        <v>0</v>
      </c>
      <c r="Z55" s="49">
        <f>IF(Q55=" ",'Aug23'!Z66,Q55+'Aug23'!Z66)</f>
        <v>0</v>
      </c>
      <c r="AA55" s="49">
        <f>IF(R55=" ",'Aug23'!AA66,R55+'Aug23'!AA66)</f>
        <v>0</v>
      </c>
      <c r="AC55" s="49">
        <f>IF(T55=" ",'Aug23'!AC66,T55+'Aug23'!AC66)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AD60+'Aug23'!AD76</f>
        <v>0</v>
      </c>
      <c r="AE65" s="158">
        <f>AE60+'Aug23'!AE76</f>
        <v>0</v>
      </c>
      <c r="AF65" s="158">
        <f>AF60+'Aug23'!AF76</f>
        <v>0</v>
      </c>
      <c r="AG65" s="158">
        <f>AG60+'Aug23'!AG76</f>
        <v>0</v>
      </c>
    </row>
    <row r="66" spans="6:33" ht="14" thickTop="1" x14ac:dyDescent="0.15"/>
    <row r="67" spans="6:33" x14ac:dyDescent="0.15">
      <c r="AD67" s="162"/>
      <c r="AE67" s="158">
        <f>AE62+'Aug23'!AE78</f>
        <v>0</v>
      </c>
      <c r="AF67" s="158">
        <f>AF62+'Aug23'!AF78</f>
        <v>0</v>
      </c>
      <c r="AG67" s="158">
        <f>AG62+'Aug23'!AG78</f>
        <v>0</v>
      </c>
    </row>
  </sheetData>
  <mergeCells count="79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B37:T37"/>
    <mergeCell ref="B38:E38"/>
    <mergeCell ref="F46:G46"/>
    <mergeCell ref="O38:Q38"/>
    <mergeCell ref="R38:T38"/>
    <mergeCell ref="B39:D39"/>
    <mergeCell ref="H39:J39"/>
    <mergeCell ref="O39:R39"/>
    <mergeCell ref="R8:T8"/>
    <mergeCell ref="B7:T7"/>
    <mergeCell ref="B8:E8"/>
    <mergeCell ref="M59:R59"/>
    <mergeCell ref="B47:T47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O9:R9"/>
    <mergeCell ref="B19:D19"/>
    <mergeCell ref="H19:J19"/>
    <mergeCell ref="O19:R19"/>
    <mergeCell ref="F26:G26"/>
    <mergeCell ref="O18:Q18"/>
    <mergeCell ref="R18:T18"/>
    <mergeCell ref="F36:G36"/>
    <mergeCell ref="B28:E28"/>
    <mergeCell ref="F16:G16"/>
    <mergeCell ref="B17:T17"/>
    <mergeCell ref="B27:T27"/>
    <mergeCell ref="B18:E18"/>
    <mergeCell ref="O29:R29"/>
    <mergeCell ref="R28:T28"/>
    <mergeCell ref="B29:D29"/>
    <mergeCell ref="O28:Q28"/>
  </mergeCells>
  <phoneticPr fontId="6" type="noConversion"/>
  <dataValidations count="1">
    <dataValidation type="list" allowBlank="1" showInputMessage="1" showErrorMessage="1" sqref="G51:G55 G41:G45 G21:G25 G11:G15 G31:G3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0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68"/>
      <c r="D8" s="468"/>
      <c r="E8" s="469"/>
      <c r="F8" s="32"/>
      <c r="G8" s="32"/>
      <c r="H8" s="32"/>
      <c r="I8" s="32"/>
      <c r="J8" s="32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64"/>
      <c r="D9" s="465"/>
      <c r="E9" s="156">
        <v>27</v>
      </c>
      <c r="F9" s="35"/>
      <c r="G9" s="35"/>
      <c r="H9" s="410" t="s">
        <v>28</v>
      </c>
      <c r="I9" s="464"/>
      <c r="J9" s="465"/>
      <c r="K9" s="204">
        <f>Admin!B181</f>
        <v>45201</v>
      </c>
      <c r="L9" s="203" t="s">
        <v>75</v>
      </c>
      <c r="M9" s="205">
        <f>K9+6</f>
        <v>45207</v>
      </c>
      <c r="N9" s="20"/>
      <c r="O9" s="420" t="s">
        <v>63</v>
      </c>
      <c r="P9" s="466"/>
      <c r="Q9" s="466"/>
      <c r="R9" s="46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IF(T$9="Y",'Sep23'!H41,0)</f>
        <v>0</v>
      </c>
      <c r="I11" s="89">
        <f>IF(T$9="Y",'Sep23'!I41,0)</f>
        <v>0</v>
      </c>
      <c r="J11" s="89">
        <f>IF(T$9="Y",'Sep23'!J41,0)</f>
        <v>0</v>
      </c>
      <c r="K11" s="89">
        <f>IF(T$9="Y",'Sep23'!K41,I11*J11)</f>
        <v>0</v>
      </c>
      <c r="L11" s="110">
        <f>IF(T$9="Y",'Sep23'!L41,0)</f>
        <v>0</v>
      </c>
      <c r="M11" s="99" t="str">
        <f>IF(E11=" "," ",IF(T$9="Y",'Sep23'!M41,IF((H11+K11+L11)&gt;0,H11+K11+L11,"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IF(Employee!H$34=E$9,Employee!D$34+SUM(M11)+'Sep23'!V41,SUM(M11)+'Sep23'!V41)</f>
        <v>0</v>
      </c>
      <c r="W11" s="49">
        <f>IF(Employee!H$34=E$9,Employee!D$35+SUM(N11)+'Sep23'!W41,SUM(N11)+'Sep23'!W41)</f>
        <v>0</v>
      </c>
      <c r="X11" s="49">
        <f>IF(O11=" ",'Sep23'!X41,O11+'Sep23'!X41)</f>
        <v>0</v>
      </c>
      <c r="Y11" s="49">
        <f>IF(P11=" ",'Sep23'!Y41,P11+'Sep23'!Y41)</f>
        <v>0</v>
      </c>
      <c r="Z11" s="49">
        <f>IF(Q11=" ",'Sep23'!Z41,Q11+'Sep23'!Z41)</f>
        <v>0</v>
      </c>
      <c r="AA11" s="49">
        <f>IF(R11=" ",'Sep23'!AA41,R11+'Sep23'!AA41)</f>
        <v>0</v>
      </c>
      <c r="AC11" s="49">
        <f>IF(T11=" ",'Sep23'!AC41,T11+'Sep23'!AC41)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IF(T$9="Y",'Sep23'!H42,0)</f>
        <v>0</v>
      </c>
      <c r="I12" s="92">
        <f>IF(T$9="Y",'Sep23'!I42,0)</f>
        <v>0</v>
      </c>
      <c r="J12" s="92">
        <f>IF(T$9="Y",'Sep23'!J42,0)</f>
        <v>0</v>
      </c>
      <c r="K12" s="92">
        <f>IF(T$9="Y",'Sep23'!K42,I12*J12)</f>
        <v>0</v>
      </c>
      <c r="L12" s="111">
        <f>IF(T$9="Y",'Sep23'!L42,0)</f>
        <v>0</v>
      </c>
      <c r="M12" s="100" t="str">
        <f>IF(E12=" "," ",IF(T$9="Y",'Sep23'!M42,IF((H12+K12+L12)&gt;0,H12+K12+L12,"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IF(Employee!H$60=E$9,Employee!D$60+SUM(M12)+'Sep23'!V42,SUM(M12)+'Sep23'!V42)</f>
        <v>0</v>
      </c>
      <c r="W12" s="49">
        <f>IF(Employee!H$60=E$9,Employee!D$61+SUM(N12)+'Sep23'!W42,SUM(N12)+'Sep23'!W42)</f>
        <v>0</v>
      </c>
      <c r="X12" s="49">
        <f>IF(O12=" ",'Sep23'!X42,O12+'Sep23'!X42)</f>
        <v>0</v>
      </c>
      <c r="Y12" s="49">
        <f>IF(P12=" ",'Sep23'!Y42,P12+'Sep23'!Y42)</f>
        <v>0</v>
      </c>
      <c r="Z12" s="49">
        <f>IF(Q12=" ",'Sep23'!Z42,Q12+'Sep23'!Z42)</f>
        <v>0</v>
      </c>
      <c r="AA12" s="49">
        <f>IF(R12=" ",'Sep23'!AA42,R12+'Sep23'!AA42)</f>
        <v>0</v>
      </c>
      <c r="AC12" s="49">
        <f>IF(T12=" ",'Sep23'!AC42,T12+'Sep23'!AC42)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IF(T$9="Y",'Sep23'!H43,0)</f>
        <v>0</v>
      </c>
      <c r="I13" s="89">
        <f>IF(T$9="Y",'Sep23'!I43,0)</f>
        <v>0</v>
      </c>
      <c r="J13" s="89">
        <f>IF(T$9="Y",'Sep23'!J43,0)</f>
        <v>0</v>
      </c>
      <c r="K13" s="89">
        <f>IF(T$9="Y",'Sep23'!K43,I13*J13)</f>
        <v>0</v>
      </c>
      <c r="L13" s="110">
        <f>IF(T$9="Y",'Sep23'!L43,0)</f>
        <v>0</v>
      </c>
      <c r="M13" s="99" t="str">
        <f>IF(E13=" "," ",IF(T$9="Y",'Sep23'!M43,IF((H13+K13+L13)&gt;0,H13+K13+L13,"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IF(Employee!H$86=E$9,Employee!D$86+SUM(M13)+'Sep23'!V43,SUM(M13)+'Sep23'!V43)</f>
        <v>0</v>
      </c>
      <c r="W13" s="49">
        <f>IF(Employee!H$86=E$9,Employee!D$87+SUM(N13)+'Sep23'!W43,SUM(N13)+'Sep23'!W43)</f>
        <v>0</v>
      </c>
      <c r="X13" s="49">
        <f>IF(O13=" ",'Sep23'!X43,O13+'Sep23'!X43)</f>
        <v>0</v>
      </c>
      <c r="Y13" s="49">
        <f>IF(P13=" ",'Sep23'!Y43,P13+'Sep23'!Y43)</f>
        <v>0</v>
      </c>
      <c r="Z13" s="49">
        <f>IF(Q13=" ",'Sep23'!Z43,Q13+'Sep23'!Z43)</f>
        <v>0</v>
      </c>
      <c r="AA13" s="49">
        <f>IF(R13=" ",'Sep23'!AA43,R13+'Sep23'!AA43)</f>
        <v>0</v>
      </c>
      <c r="AC13" s="49">
        <f>IF(T13=" ",'Sep23'!AC43,T13+'Sep23'!AC43)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IF(T$9="Y",'Sep23'!H44,0)</f>
        <v>0</v>
      </c>
      <c r="I14" s="92">
        <f>IF(T$9="Y",'Sep23'!I44,0)</f>
        <v>0</v>
      </c>
      <c r="J14" s="92">
        <f>IF(T$9="Y",'Sep23'!J44,0)</f>
        <v>0</v>
      </c>
      <c r="K14" s="92">
        <f>IF(T$9="Y",'Sep23'!K44,I14*J14)</f>
        <v>0</v>
      </c>
      <c r="L14" s="111">
        <f>IF(T$9="Y",'Sep23'!L44,0)</f>
        <v>0</v>
      </c>
      <c r="M14" s="100" t="str">
        <f>IF(E14=" "," ",IF(T$9="Y",'Sep23'!M44,IF((H14+K14+L14)&gt;0,H14+K14+L14,"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IF(Employee!H$112=E$9,Employee!D$112+SUM(M14)+'Sep23'!V44,SUM(M14)+'Sep23'!V44)</f>
        <v>0</v>
      </c>
      <c r="W14" s="49">
        <f>IF(Employee!H$112=E$9,Employee!D$113+SUM(N14)+'Sep23'!W44,SUM(N14)+'Sep23'!W44)</f>
        <v>0</v>
      </c>
      <c r="X14" s="49">
        <f>IF(O14=" ",'Sep23'!X44,O14+'Sep23'!X44)</f>
        <v>0</v>
      </c>
      <c r="Y14" s="49">
        <f>IF(P14=" ",'Sep23'!Y44,P14+'Sep23'!Y44)</f>
        <v>0</v>
      </c>
      <c r="Z14" s="49">
        <f>IF(Q14=" ",'Sep23'!Z44,Q14+'Sep23'!Z44)</f>
        <v>0</v>
      </c>
      <c r="AA14" s="49">
        <f>IF(R14=" ",'Sep23'!AA44,R14+'Sep23'!AA44)</f>
        <v>0</v>
      </c>
      <c r="AC14" s="49">
        <f>IF(T14=" ",'Sep23'!AC44,T14+'Sep23'!AC44)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IF(T$9="Y",'Sep23'!H45,0)</f>
        <v>0</v>
      </c>
      <c r="I15" s="89">
        <f>IF(T$9="Y",'Sep23'!I45,0)</f>
        <v>0</v>
      </c>
      <c r="J15" s="89">
        <f>IF(T$9="Y",'Sep23'!J45,0)</f>
        <v>0</v>
      </c>
      <c r="K15" s="89">
        <f>IF(T$9="Y",'Sep23'!K45,I15*J15)</f>
        <v>0</v>
      </c>
      <c r="L15" s="110">
        <f>IF(T$9="Y",'Sep23'!L45,0)</f>
        <v>0</v>
      </c>
      <c r="M15" s="99" t="str">
        <f>IF(E15=" "," ",IF(T$9="Y",'Sep23'!M45,IF((H15+K15+L15)&gt;0,H15+K15+L15,"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IF(Employee!H$138=E$9,Employee!D$138+SUM(M15)+'Sep23'!V45,SUM(M15)+'Sep23'!V45)</f>
        <v>0</v>
      </c>
      <c r="W15" s="49">
        <f>IF(Employee!H$138=E$9,Employee!D$139+SUM(N15)+'Sep23'!W45,SUM(N15)+'Sep23'!W45)</f>
        <v>0</v>
      </c>
      <c r="X15" s="49">
        <f>IF(O15=" ",'Sep23'!X45,O15+'Sep23'!X45)</f>
        <v>0</v>
      </c>
      <c r="Y15" s="49">
        <f>IF(P15=" ",'Sep23'!Y45,P15+'Sep23'!Y45)</f>
        <v>0</v>
      </c>
      <c r="Z15" s="49">
        <f>IF(Q15=" ",'Sep23'!Z45,Q15+'Sep23'!Z45)</f>
        <v>0</v>
      </c>
      <c r="AA15" s="49">
        <f>IF(R15=" ",'Sep23'!AA45,R15+'Sep23'!AA45)</f>
        <v>0</v>
      </c>
      <c r="AC15" s="49">
        <f>IF(T15=" ",'Sep23'!AC45,T15+'Sep23'!AC45)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7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86"/>
      <c r="H18" s="87"/>
      <c r="I18" s="87"/>
      <c r="J18" s="87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28</v>
      </c>
      <c r="F19" s="35"/>
      <c r="G19" s="35"/>
      <c r="H19" s="410" t="s">
        <v>28</v>
      </c>
      <c r="I19" s="408"/>
      <c r="J19" s="409"/>
      <c r="K19" s="204">
        <f>M9+1</f>
        <v>45208</v>
      </c>
      <c r="L19" s="203" t="s">
        <v>75</v>
      </c>
      <c r="M19" s="205">
        <f>K19+6</f>
        <v>45214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8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29</v>
      </c>
      <c r="F29" s="35"/>
      <c r="G29" s="35"/>
      <c r="H29" s="410" t="s">
        <v>28</v>
      </c>
      <c r="I29" s="408"/>
      <c r="J29" s="409"/>
      <c r="K29" s="204">
        <f>M19+1</f>
        <v>45215</v>
      </c>
      <c r="L29" s="203" t="s">
        <v>75</v>
      </c>
      <c r="M29" s="205">
        <f>K29+6</f>
        <v>45221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43"/>
      <c r="I38" s="43"/>
      <c r="J38" s="43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30</v>
      </c>
      <c r="F39" s="35"/>
      <c r="G39" s="35"/>
      <c r="H39" s="410" t="s">
        <v>28</v>
      </c>
      <c r="I39" s="408"/>
      <c r="J39" s="409"/>
      <c r="K39" s="204">
        <f>M29+1</f>
        <v>45222</v>
      </c>
      <c r="L39" s="203" t="s">
        <v>75</v>
      </c>
      <c r="M39" s="205">
        <f>K39+6</f>
        <v>45228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7</v>
      </c>
      <c r="F49" s="35"/>
      <c r="G49" s="35"/>
      <c r="H49" s="410" t="s">
        <v>28</v>
      </c>
      <c r="I49" s="408"/>
      <c r="J49" s="409"/>
      <c r="K49" s="204">
        <f>Admin!B180</f>
        <v>45200</v>
      </c>
      <c r="L49" s="203" t="s">
        <v>75</v>
      </c>
      <c r="M49" s="205">
        <f>Admin!B210</f>
        <v>45230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IF(T$49="Y",'Sep23'!H51,0)</f>
        <v>0</v>
      </c>
      <c r="I51" s="89">
        <f>IF(T$49="Y",'Sep23'!I51,0)</f>
        <v>0</v>
      </c>
      <c r="J51" s="89">
        <f>IF(T$49="Y",'Sep23'!J51,0)</f>
        <v>0</v>
      </c>
      <c r="K51" s="89">
        <f>IF(T$49="Y",'Sep23'!K51,I51*J51)</f>
        <v>0</v>
      </c>
      <c r="L51" s="110">
        <f>IF(T$49="Y",'Sep23'!L51,0)</f>
        <v>0</v>
      </c>
      <c r="M51" s="99" t="str">
        <f>IF(E51=" "," ",IF(T$49="Y",'Sep23'!M51,IF((H51+K51+L51)&gt;0,H51+K51+L51,"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IF(Employee!H$35=E$49,Employee!D$34+SUM(M51)+'Sep23'!V51,SUM(M51)+'Sep23'!V51)</f>
        <v>0</v>
      </c>
      <c r="W51" s="49">
        <f>IF(Employee!H$35=E$49,Employee!D$35+SUM(N51)+'Sep23'!W51,SUM(N51)+'Sep23'!W51)</f>
        <v>0</v>
      </c>
      <c r="X51" s="49">
        <f>IF(O51=" ",'Sep23'!X51,O51+'Sep23'!X51)</f>
        <v>0</v>
      </c>
      <c r="Y51" s="49">
        <f>IF(P51=" ",'Sep23'!Y51,P51+'Sep23'!Y51)</f>
        <v>0</v>
      </c>
      <c r="Z51" s="49">
        <f>IF(Q51=" ",'Sep23'!Z51,Q51+'Sep23'!Z51)</f>
        <v>0</v>
      </c>
      <c r="AA51" s="49">
        <f>IF(R51=" ",'Sep23'!AA51,R51+'Sep23'!AA51)</f>
        <v>0</v>
      </c>
      <c r="AC51" s="49">
        <f>IF(T51=" ",'Sep23'!AC51,T51+'Sep23'!AC51)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IF(T$49="Y",'Sep23'!H52,0)</f>
        <v>0</v>
      </c>
      <c r="I52" s="92">
        <f>IF(T$49="Y",'Sep23'!I52,0)</f>
        <v>0</v>
      </c>
      <c r="J52" s="92">
        <f>IF(T$49="Y",'Sep23'!J52,0)</f>
        <v>0</v>
      </c>
      <c r="K52" s="92">
        <f>IF(T$49="Y",'Sep23'!K52,I52*J52)</f>
        <v>0</v>
      </c>
      <c r="L52" s="111">
        <f>IF(T$49="Y",'Sep23'!L52,0)</f>
        <v>0</v>
      </c>
      <c r="M52" s="100" t="str">
        <f>IF(E52=" "," ",IF(T$49="Y",'Sep23'!M52,IF((H52+K52+L52)&gt;0,H52+K52+L52,"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IF(Employee!H$61=E$49,Employee!D$60+SUM(M52)+'Sep23'!V52,SUM(M52)+'Sep23'!V52)</f>
        <v>0</v>
      </c>
      <c r="W52" s="49">
        <f>IF(Employee!H$61=E$49,Employee!D$61+SUM(N52)+'Sep23'!W52,SUM(N52)+'Sep23'!W52)</f>
        <v>0</v>
      </c>
      <c r="X52" s="49">
        <f>IF(O52=" ",'Sep23'!X52,O52+'Sep23'!X52)</f>
        <v>0</v>
      </c>
      <c r="Y52" s="49">
        <f>IF(P52=" ",'Sep23'!Y52,P52+'Sep23'!Y52)</f>
        <v>0</v>
      </c>
      <c r="Z52" s="49">
        <f>IF(Q52=" ",'Sep23'!Z52,Q52+'Sep23'!Z52)</f>
        <v>0</v>
      </c>
      <c r="AA52" s="49">
        <f>IF(R52=" ",'Sep23'!AA52,R52+'Sep23'!AA52)</f>
        <v>0</v>
      </c>
      <c r="AC52" s="49">
        <f>IF(T52=" ",'Sep23'!AC52,T52+'Sep23'!AC52)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IF(T$49="Y",'Sep23'!H53,0)</f>
        <v>0</v>
      </c>
      <c r="I53" s="92">
        <f>IF(T$49="Y",'Sep23'!I53,0)</f>
        <v>0</v>
      </c>
      <c r="J53" s="92">
        <f>IF(T$49="Y",'Sep23'!J53,0)</f>
        <v>0</v>
      </c>
      <c r="K53" s="92">
        <f>IF(T$49="Y",'Sep23'!K53,I53*J53)</f>
        <v>0</v>
      </c>
      <c r="L53" s="111">
        <f>IF(T$49="Y",'Sep23'!L53,0)</f>
        <v>0</v>
      </c>
      <c r="M53" s="100" t="str">
        <f>IF(E53=" "," ",IF(T$49="Y",'Sep23'!M53,IF((H53+K53+L53)&gt;0,H53+K53+L53,"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IF(Employee!H$87=E$49,Employee!D$86+SUM(M53)+'Sep23'!V53,SUM(M53)+'Sep23'!V53)</f>
        <v>0</v>
      </c>
      <c r="W53" s="49">
        <f>IF(Employee!H$87=E$49,Employee!D$87+SUM(N53)+'Sep23'!W53,SUM(N53)+'Sep23'!W53)</f>
        <v>0</v>
      </c>
      <c r="X53" s="49">
        <f>IF(O53=" ",'Sep23'!X53,O53+'Sep23'!X53)</f>
        <v>0</v>
      </c>
      <c r="Y53" s="49">
        <f>IF(P53=" ",'Sep23'!Y53,P53+'Sep23'!Y53)</f>
        <v>0</v>
      </c>
      <c r="Z53" s="49">
        <f>IF(Q53=" ",'Sep23'!Z53,Q53+'Sep23'!Z53)</f>
        <v>0</v>
      </c>
      <c r="AA53" s="49">
        <f>IF(R53=" ",'Sep23'!AA53,R53+'Sep23'!AA53)</f>
        <v>0</v>
      </c>
      <c r="AC53" s="49">
        <f>IF(T53=" ",'Sep23'!AC53,T53+'Sep23'!AC53)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IF(T$49="Y",'Sep23'!H54,0)</f>
        <v>0</v>
      </c>
      <c r="I54" s="92">
        <f>IF(T$49="Y",'Sep23'!I54,0)</f>
        <v>0</v>
      </c>
      <c r="J54" s="92">
        <f>IF(T$49="Y",'Sep23'!J54,0)</f>
        <v>0</v>
      </c>
      <c r="K54" s="92">
        <f>IF(T$49="Y",'Sep23'!K54,I54*J54)</f>
        <v>0</v>
      </c>
      <c r="L54" s="111">
        <f>IF(T$49="Y",'Sep23'!L54,0)</f>
        <v>0</v>
      </c>
      <c r="M54" s="100" t="str">
        <f>IF(E54=" "," ",IF(T$49="Y",'Sep23'!M54,IF((H54+K54+L54)&gt;0,H54+K54+L54,"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IF(Employee!H$113=E$49,Employee!D$112+SUM(M54)+'Sep23'!V54,SUM(M54)+'Sep23'!V54)</f>
        <v>0</v>
      </c>
      <c r="W54" s="49">
        <f>IF(Employee!H$113=E$49,Employee!D$113+SUM(N54)+'Sep23'!W54,SUM(N54)+'Sep23'!W54)</f>
        <v>0</v>
      </c>
      <c r="X54" s="49">
        <f>IF(O54=" ",'Sep23'!X54,O54+'Sep23'!X54)</f>
        <v>0</v>
      </c>
      <c r="Y54" s="49">
        <f>IF(P54=" ",'Sep23'!Y54,P54+'Sep23'!Y54)</f>
        <v>0</v>
      </c>
      <c r="Z54" s="49">
        <f>IF(Q54=" ",'Sep23'!Z54,Q54+'Sep23'!Z54)</f>
        <v>0</v>
      </c>
      <c r="AA54" s="49">
        <f>IF(R54=" ",'Sep23'!AA54,R54+'Sep23'!AA54)</f>
        <v>0</v>
      </c>
      <c r="AC54" s="49">
        <f>IF(T54=" ",'Sep23'!AC54,T54+'Sep23'!AC54)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IF(T$49="Y",'Sep23'!H55,0)</f>
        <v>0</v>
      </c>
      <c r="I55" s="245">
        <f>IF(T$49="Y",'Sep23'!I55,0)</f>
        <v>0</v>
      </c>
      <c r="J55" s="245">
        <f>IF(T$49="Y",'Sep23'!J55,0)</f>
        <v>0</v>
      </c>
      <c r="K55" s="245">
        <f>IF(T$49="Y",'Sep23'!K55,I55*J55)</f>
        <v>0</v>
      </c>
      <c r="L55" s="246">
        <f>IF(T$49="Y",'Sep23'!L55,0)</f>
        <v>0</v>
      </c>
      <c r="M55" s="100" t="str">
        <f>IF(E55=" "," ",IF(T$49="Y",'Sep23'!M55,IF((H55+K55+L55)&gt;0,H55+K55+L55,"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IF(Employee!H$139=E$49,Employee!D$138+SUM(M55)+'Sep23'!V55,SUM(M55)+'Sep23'!V55)</f>
        <v>0</v>
      </c>
      <c r="W55" s="49">
        <f>IF(Employee!H$139=E$49,Employee!D$139+SUM(N55)+'Sep23'!W55,SUM(N55)+'Sep23'!W55)</f>
        <v>0</v>
      </c>
      <c r="X55" s="49">
        <f>IF(O55=" ",'Sep23'!X55,O55+'Sep23'!X55)</f>
        <v>0</v>
      </c>
      <c r="Y55" s="49">
        <f>IF(P55=" ",'Sep23'!Y55,P55+'Sep23'!Y55)</f>
        <v>0</v>
      </c>
      <c r="Z55" s="49">
        <f>IF(Q55=" ",'Sep23'!Z55,Q55+'Sep23'!Z55)</f>
        <v>0</v>
      </c>
      <c r="AA55" s="49">
        <f>IF(R55=" ",'Sep23'!AA55,R55+'Sep23'!AA55)</f>
        <v>0</v>
      </c>
      <c r="AC55" s="49">
        <f>IF(T55=" ",'Sep23'!AC55,T55+'Sep23'!AC55)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AD60+'Sep23'!AD65</f>
        <v>0</v>
      </c>
      <c r="AE65" s="158">
        <f>AE60+'Sep23'!AE65</f>
        <v>0</v>
      </c>
      <c r="AF65" s="158">
        <f>AF60+'Sep23'!AF65</f>
        <v>0</v>
      </c>
      <c r="AG65" s="158">
        <f>AG60+'Sep23'!AG65</f>
        <v>0</v>
      </c>
    </row>
    <row r="66" spans="6:33" ht="14" thickTop="1" x14ac:dyDescent="0.15"/>
    <row r="67" spans="6:33" x14ac:dyDescent="0.15">
      <c r="AD67" s="162"/>
      <c r="AE67" s="158">
        <f>AE62+'Sep23'!AE67</f>
        <v>0</v>
      </c>
      <c r="AF67" s="158">
        <f>AF62+'Sep23'!AF67</f>
        <v>0</v>
      </c>
      <c r="AG67" s="158">
        <f>AG62+'Sep23'!AG67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SUM(AD70:AG70)+SUM(AE72:AG72)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31</v>
      </c>
      <c r="F9" s="35"/>
      <c r="G9" s="35"/>
      <c r="H9" s="410" t="s">
        <v>28</v>
      </c>
      <c r="I9" s="408"/>
      <c r="J9" s="409"/>
      <c r="K9" s="204">
        <f>Admin!B209</f>
        <v>45229</v>
      </c>
      <c r="L9" s="203" t="s">
        <v>75</v>
      </c>
      <c r="M9" s="205">
        <f>K9+6</f>
        <v>45235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32</v>
      </c>
      <c r="F19" s="35"/>
      <c r="G19" s="35"/>
      <c r="H19" s="410" t="s">
        <v>28</v>
      </c>
      <c r="I19" s="408"/>
      <c r="J19" s="409"/>
      <c r="K19" s="204">
        <f>M9+1</f>
        <v>45236</v>
      </c>
      <c r="L19" s="203" t="s">
        <v>75</v>
      </c>
      <c r="M19" s="205">
        <f>K19+6</f>
        <v>45242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33</v>
      </c>
      <c r="F29" s="35"/>
      <c r="G29" s="35"/>
      <c r="H29" s="410" t="s">
        <v>28</v>
      </c>
      <c r="I29" s="408"/>
      <c r="J29" s="409"/>
      <c r="K29" s="204">
        <f>M19+1</f>
        <v>45243</v>
      </c>
      <c r="L29" s="203" t="s">
        <v>75</v>
      </c>
      <c r="M29" s="205">
        <f>K29+6</f>
        <v>45249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34</v>
      </c>
      <c r="F39" s="35"/>
      <c r="G39" s="35"/>
      <c r="H39" s="410" t="s">
        <v>28</v>
      </c>
      <c r="I39" s="464"/>
      <c r="J39" s="465"/>
      <c r="K39" s="204">
        <f>M29+1</f>
        <v>45250</v>
      </c>
      <c r="L39" s="203" t="s">
        <v>75</v>
      </c>
      <c r="M39" s="205">
        <f>K39+6</f>
        <v>45256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348" customFormat="1" ht="18" customHeight="1" thickBot="1" x14ac:dyDescent="0.2">
      <c r="A47" s="337"/>
      <c r="B47" s="338"/>
      <c r="C47" s="339"/>
      <c r="D47" s="339"/>
      <c r="E47" s="340"/>
      <c r="F47" s="341"/>
      <c r="G47" s="341"/>
      <c r="H47" s="342"/>
      <c r="I47" s="342"/>
      <c r="J47" s="342"/>
      <c r="K47" s="343"/>
      <c r="L47" s="343"/>
      <c r="M47" s="342"/>
      <c r="N47" s="342"/>
      <c r="O47" s="342"/>
      <c r="P47" s="342"/>
      <c r="Q47" s="342"/>
      <c r="R47" s="342"/>
      <c r="S47" s="342"/>
      <c r="T47" s="342"/>
      <c r="U47" s="344"/>
      <c r="V47" s="345"/>
      <c r="W47" s="346"/>
      <c r="X47" s="346"/>
      <c r="Y47" s="346"/>
      <c r="Z47" s="346"/>
      <c r="AA47" s="346"/>
      <c r="AB47" s="346"/>
      <c r="AC47" s="346"/>
      <c r="AD47" s="347"/>
      <c r="AE47" s="347"/>
      <c r="AF47" s="347"/>
      <c r="AG47" s="347"/>
    </row>
    <row r="48" spans="1:34" s="348" customFormat="1" ht="18" customHeight="1" thickTop="1" thickBot="1" x14ac:dyDescent="0.2">
      <c r="A48" s="337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V48" s="45"/>
      <c r="W48" s="45"/>
      <c r="X48" s="45"/>
      <c r="Y48" s="45"/>
      <c r="Z48" s="45"/>
      <c r="AA48" s="45"/>
      <c r="AB48" s="45"/>
      <c r="AC48" s="45"/>
      <c r="AD48" s="76"/>
      <c r="AE48" s="76"/>
      <c r="AF48" s="76"/>
      <c r="AG48" s="76"/>
    </row>
    <row r="49" spans="1:34" s="348" customFormat="1" ht="18" customHeight="1" thickTop="1" thickBot="1" x14ac:dyDescent="0.2">
      <c r="A49" s="337"/>
      <c r="B49" s="410" t="s">
        <v>9</v>
      </c>
      <c r="C49" s="464"/>
      <c r="D49" s="465"/>
      <c r="E49" s="156">
        <v>35</v>
      </c>
      <c r="F49" s="35"/>
      <c r="G49" s="35"/>
      <c r="H49" s="410" t="s">
        <v>28</v>
      </c>
      <c r="I49" s="464"/>
      <c r="J49" s="465"/>
      <c r="K49" s="204">
        <f>M39+1</f>
        <v>45257</v>
      </c>
      <c r="L49" s="203" t="s">
        <v>75</v>
      </c>
      <c r="M49" s="205">
        <f>K49+6</f>
        <v>45263</v>
      </c>
      <c r="N49" s="20"/>
      <c r="O49" s="420" t="s">
        <v>63</v>
      </c>
      <c r="P49" s="466"/>
      <c r="Q49" s="466"/>
      <c r="R49" s="467"/>
      <c r="S49" s="35"/>
      <c r="T49" s="164"/>
      <c r="U49" s="37"/>
      <c r="V49" s="45"/>
      <c r="W49" s="45"/>
      <c r="X49" s="45"/>
      <c r="Y49" s="45"/>
      <c r="Z49" s="45"/>
      <c r="AA49" s="45"/>
      <c r="AB49" s="45"/>
      <c r="AC49" s="45"/>
      <c r="AD49" s="76"/>
      <c r="AE49" s="76"/>
      <c r="AF49" s="76"/>
      <c r="AG49" s="76"/>
    </row>
    <row r="50" spans="1:34" s="348" customFormat="1" ht="18" customHeight="1" thickBot="1" x14ac:dyDescent="0.2">
      <c r="A50" s="337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V50" s="45"/>
      <c r="W50" s="45"/>
      <c r="X50" s="45"/>
      <c r="Y50" s="45"/>
      <c r="Z50" s="45"/>
      <c r="AA50" s="45"/>
      <c r="AB50" s="45"/>
      <c r="AC50" s="45"/>
      <c r="AD50" s="76"/>
      <c r="AE50" s="76"/>
      <c r="AF50" s="76"/>
      <c r="AG50" s="76"/>
    </row>
    <row r="51" spans="1:34" s="348" customFormat="1" ht="18" customHeight="1" thickBot="1" x14ac:dyDescent="0.2">
      <c r="A51" s="337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>IF(P51=0,Y41,P51+Y41)</f>
        <v>0</v>
      </c>
      <c r="Z51" s="49">
        <f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</row>
    <row r="52" spans="1:34" s="348" customFormat="1" ht="18" customHeight="1" thickBot="1" x14ac:dyDescent="0.2">
      <c r="A52" s="337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>IF(P52=0,Y42,P52+Y42)</f>
        <v>0</v>
      </c>
      <c r="Z52" s="49">
        <f>IF(Q52=0,Z42,Q52+Z42)</f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</row>
    <row r="53" spans="1:34" s="348" customFormat="1" ht="18" customHeight="1" thickBot="1" x14ac:dyDescent="0.2">
      <c r="A53" s="337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9">IF(T$39="Y",H43,0)</f>
        <v>0</v>
      </c>
      <c r="I53" s="89">
        <f t="shared" ref="I53:I55" si="10">IF(T$39="Y",I43,0)</f>
        <v>0</v>
      </c>
      <c r="J53" s="89">
        <f t="shared" ref="J53:J55" si="11">IF(T$39="Y",J43,0)</f>
        <v>0</v>
      </c>
      <c r="K53" s="89">
        <f t="shared" ref="K53:K55" si="12">IF(T$39="Y",K43,I53*J53)</f>
        <v>0</v>
      </c>
      <c r="L53" s="89">
        <f t="shared" ref="L53:L55" si="13">IF(T$39="Y",L43,0)</f>
        <v>0</v>
      </c>
      <c r="M53" s="99" t="str">
        <f t="shared" ref="M53:M55" si="14"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 t="shared" ref="X53:X55" si="15">IF(O53=" ",X43,O53+X43)</f>
        <v>0</v>
      </c>
      <c r="Y53" s="49">
        <f t="shared" ref="Y53:Y55" si="16">IF(P53=0,Y43,P53+Y43)</f>
        <v>0</v>
      </c>
      <c r="Z53" s="49">
        <f t="shared" ref="Z53:Z55" si="17">IF(Q53=0,Z43,Q53+Z43)</f>
        <v>0</v>
      </c>
      <c r="AA53" s="49">
        <f t="shared" ref="AA53:AA55" si="18">IF(R53=" ",AA43,AA43+R53)</f>
        <v>0</v>
      </c>
      <c r="AB53" s="45"/>
      <c r="AC53" s="49">
        <f t="shared" ref="AC53:AC55" si="19"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</row>
    <row r="54" spans="1:34" s="348" customFormat="1" ht="18" customHeight="1" thickBot="1" x14ac:dyDescent="0.2">
      <c r="A54" s="337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9"/>
        <v>0</v>
      </c>
      <c r="I54" s="92">
        <f t="shared" si="10"/>
        <v>0</v>
      </c>
      <c r="J54" s="92">
        <f t="shared" si="11"/>
        <v>0</v>
      </c>
      <c r="K54" s="92">
        <f t="shared" si="12"/>
        <v>0</v>
      </c>
      <c r="L54" s="92">
        <f t="shared" si="13"/>
        <v>0</v>
      </c>
      <c r="M54" s="100" t="str">
        <f t="shared" si="14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 t="shared" si="15"/>
        <v>0</v>
      </c>
      <c r="Y54" s="49">
        <f t="shared" si="16"/>
        <v>0</v>
      </c>
      <c r="Z54" s="49">
        <f t="shared" si="17"/>
        <v>0</v>
      </c>
      <c r="AA54" s="49">
        <f t="shared" si="18"/>
        <v>0</v>
      </c>
      <c r="AB54" s="45"/>
      <c r="AC54" s="49">
        <f t="shared" si="19"/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</row>
    <row r="55" spans="1:34" s="348" customFormat="1" ht="18" customHeight="1" thickBot="1" x14ac:dyDescent="0.2">
      <c r="A55" s="337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9"/>
        <v>0</v>
      </c>
      <c r="I55" s="89">
        <f t="shared" si="10"/>
        <v>0</v>
      </c>
      <c r="J55" s="89">
        <f t="shared" si="11"/>
        <v>0</v>
      </c>
      <c r="K55" s="89">
        <f t="shared" si="12"/>
        <v>0</v>
      </c>
      <c r="L55" s="89">
        <f t="shared" si="13"/>
        <v>0</v>
      </c>
      <c r="M55" s="99" t="str">
        <f t="shared" si="14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 t="shared" si="15"/>
        <v>0</v>
      </c>
      <c r="Y55" s="49">
        <f t="shared" si="16"/>
        <v>0</v>
      </c>
      <c r="Z55" s="49">
        <f t="shared" si="17"/>
        <v>0</v>
      </c>
      <c r="AA55" s="49">
        <f t="shared" si="18"/>
        <v>0</v>
      </c>
      <c r="AB55" s="45"/>
      <c r="AC55" s="49">
        <f t="shared" si="19"/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</row>
    <row r="56" spans="1:34" s="348" customFormat="1" ht="18" customHeight="1" thickTop="1" thickBot="1" x14ac:dyDescent="0.2">
      <c r="A56" s="337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W56" s="45"/>
      <c r="X56" s="45"/>
      <c r="Y56" s="45"/>
      <c r="Z56" s="45"/>
      <c r="AA56" s="45"/>
      <c r="AB56" s="45"/>
      <c r="AC56" s="45"/>
      <c r="AD56" s="76"/>
      <c r="AE56" s="76"/>
      <c r="AF56" s="76"/>
      <c r="AG56" s="76"/>
    </row>
    <row r="57" spans="1:34" s="348" customFormat="1" ht="18" customHeight="1" thickBot="1" x14ac:dyDescent="0.2">
      <c r="A57" s="337"/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4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8</v>
      </c>
      <c r="F59" s="35"/>
      <c r="G59" s="35"/>
      <c r="H59" s="410" t="s">
        <v>28</v>
      </c>
      <c r="I59" s="408"/>
      <c r="J59" s="409"/>
      <c r="K59" s="204">
        <f>Admin!B211</f>
        <v>45231</v>
      </c>
      <c r="L59" s="203" t="s">
        <v>75</v>
      </c>
      <c r="M59" s="205">
        <f>Admin!B240</f>
        <v>45260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IF(T$59="Y",'Oct23'!H51,0)</f>
        <v>0</v>
      </c>
      <c r="I61" s="89">
        <f>IF(T$59="Y",'Oct23'!I51,0)</f>
        <v>0</v>
      </c>
      <c r="J61" s="89">
        <f>IF(T$59="Y",'Oct23'!J51,0)</f>
        <v>0</v>
      </c>
      <c r="K61" s="89">
        <f>IF(T$59="Y",'Oct23'!K51,I61*J61)</f>
        <v>0</v>
      </c>
      <c r="L61" s="110">
        <f>IF(T$59="Y",'Oct23'!L51,0)</f>
        <v>0</v>
      </c>
      <c r="M61" s="99" t="str">
        <f>IF(E61=" "," ",IF(T$59="Y",'Oct23'!M51,IF((H61+K61+L61)&gt;0,H61+K61+L61,"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IF(Employee!H$35=E$59,Employee!D$34+SUM(M61)+'Oct23'!V51,SUM(M61)+'Oct23'!V51)</f>
        <v>0</v>
      </c>
      <c r="W61" s="49">
        <f>IF(Employee!H$35=E$59,Employee!D$35+SUM(N61)+'Oct23'!W51,SUM(N61)+'Oct23'!W51)</f>
        <v>0</v>
      </c>
      <c r="X61" s="49">
        <f>IF(O61=" ",'Oct23'!X51,O61+'Oct23'!X51)</f>
        <v>0</v>
      </c>
      <c r="Y61" s="49">
        <f>IF(P61=" ",'Oct23'!Y51,P61+'Oct23'!Y51)</f>
        <v>0</v>
      </c>
      <c r="Z61" s="49">
        <f>IF(Q61=" ",'Oct23'!Z51,Q61+'Oct23'!Z51)</f>
        <v>0</v>
      </c>
      <c r="AA61" s="49">
        <f>IF(R61=" ",'Oct23'!AA51,R61+'Oct23'!AA51)</f>
        <v>0</v>
      </c>
      <c r="AC61" s="49">
        <f>IF(T61=" ",'Oct23'!AC51,T61+'Oct23'!AC51)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IF(T$59="Y",'Oct23'!H52,0)</f>
        <v>0</v>
      </c>
      <c r="I62" s="92">
        <f>IF(T$59="Y",'Oct23'!I52,0)</f>
        <v>0</v>
      </c>
      <c r="J62" s="92">
        <f>IF(T$59="Y",'Oct23'!J52,0)</f>
        <v>0</v>
      </c>
      <c r="K62" s="92">
        <f>IF(T$59="Y",'Oct23'!K52,I62*J62)</f>
        <v>0</v>
      </c>
      <c r="L62" s="111">
        <f>IF(T$59="Y",'Oct23'!L52,0)</f>
        <v>0</v>
      </c>
      <c r="M62" s="100" t="str">
        <f>IF(E62=" "," ",IF(T$59="Y",'Oct23'!M52,IF((H62+K62+L62)&gt;0,H62+K62+L62,"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IF(Employee!H$61=E$59,Employee!D$60+SUM(M62)+'Oct23'!V52,SUM(M62)+'Oct23'!V52)</f>
        <v>0</v>
      </c>
      <c r="W62" s="49">
        <f>IF(Employee!H$61=E$59,Employee!D$61+SUM(N62)+'Oct23'!W52,SUM(N62)+'Oct23'!W52)</f>
        <v>0</v>
      </c>
      <c r="X62" s="49">
        <f>IF(O62=" ",'Oct23'!X52,O62+'Oct23'!X52)</f>
        <v>0</v>
      </c>
      <c r="Y62" s="49">
        <f>IF(P62=" ",'Oct23'!Y52,P62+'Oct23'!Y52)</f>
        <v>0</v>
      </c>
      <c r="Z62" s="49">
        <f>IF(Q62=" ",'Oct23'!Z52,Q62+'Oct23'!Z52)</f>
        <v>0</v>
      </c>
      <c r="AA62" s="49">
        <f>IF(R62=" ",'Oct23'!AA52,R62+'Oct23'!AA52)</f>
        <v>0</v>
      </c>
      <c r="AC62" s="49">
        <f>IF(T62=" ",'Oct23'!AC52,T62+'Oct23'!AC52)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IF(T$59="Y",'Oct23'!H53,0)</f>
        <v>0</v>
      </c>
      <c r="I63" s="92">
        <f>IF(T$59="Y",'Oct23'!I53,0)</f>
        <v>0</v>
      </c>
      <c r="J63" s="92">
        <f>IF(T$59="Y",'Oct23'!J53,0)</f>
        <v>0</v>
      </c>
      <c r="K63" s="92">
        <f>IF(T$59="Y",'Oct23'!K53,I63*J63)</f>
        <v>0</v>
      </c>
      <c r="L63" s="111">
        <f>IF(T$59="Y",'Oct23'!L53,0)</f>
        <v>0</v>
      </c>
      <c r="M63" s="100" t="str">
        <f>IF(E63=" "," ",IF(T$59="Y",'Oct23'!M53,IF((H63+K63+L63)&gt;0,H63+K63+L63,"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IF(Employee!H$87=E$59,Employee!D$86+SUM(M63)+'Oct23'!V53,SUM(M63)+'Oct23'!V53)</f>
        <v>0</v>
      </c>
      <c r="W63" s="49">
        <f>IF(Employee!H$87=E$59,Employee!D$87+SUM(N63)+'Oct23'!W53,SUM(N63)+'Oct23'!W53)</f>
        <v>0</v>
      </c>
      <c r="X63" s="49">
        <f>IF(O63=" ",'Oct23'!X53,O63+'Oct23'!X53)</f>
        <v>0</v>
      </c>
      <c r="Y63" s="49">
        <f>IF(P63=" ",'Oct23'!Y53,P63+'Oct23'!Y53)</f>
        <v>0</v>
      </c>
      <c r="Z63" s="49">
        <f>IF(Q63=" ",'Oct23'!Z53,Q63+'Oct23'!Z53)</f>
        <v>0</v>
      </c>
      <c r="AA63" s="49">
        <f>IF(R63=" ",'Oct23'!AA53,R63+'Oct23'!AA53)</f>
        <v>0</v>
      </c>
      <c r="AC63" s="49">
        <f>IF(T63=" ",'Oct23'!AC53,T63+'Oct23'!AC53)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IF(T$59="Y",'Oct23'!H54,0)</f>
        <v>0</v>
      </c>
      <c r="I64" s="92">
        <f>IF(T$59="Y",'Oct23'!I54,0)</f>
        <v>0</v>
      </c>
      <c r="J64" s="92">
        <f>IF(T$59="Y",'Oct23'!J54,0)</f>
        <v>0</v>
      </c>
      <c r="K64" s="92">
        <f>IF(T$59="Y",'Oct23'!K54,I64*J64)</f>
        <v>0</v>
      </c>
      <c r="L64" s="111">
        <f>IF(T$59="Y",'Oct23'!L54,0)</f>
        <v>0</v>
      </c>
      <c r="M64" s="100" t="str">
        <f>IF(E64=" "," ",IF(T$59="Y",'Oct23'!M54,IF((H64+K64+L64)&gt;0,H64+K64+L64,"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IF(Employee!H$113=E$59,Employee!D$112+SUM(M64)+'Oct23'!V54,SUM(M64)+'Oct23'!V54)</f>
        <v>0</v>
      </c>
      <c r="W64" s="49">
        <f>IF(Employee!H$113=E$59,Employee!D$113+SUM(N64)+'Oct23'!W54,SUM(N64)+'Oct23'!W54)</f>
        <v>0</v>
      </c>
      <c r="X64" s="49">
        <f>IF(O64=" ",'Oct23'!X54,O64+'Oct23'!X54)</f>
        <v>0</v>
      </c>
      <c r="Y64" s="49">
        <f>IF(P64=" ",'Oct23'!Y54,P64+'Oct23'!Y54)</f>
        <v>0</v>
      </c>
      <c r="Z64" s="49">
        <f>IF(Q64=" ",'Oct23'!Z54,Q64+'Oct23'!Z54)</f>
        <v>0</v>
      </c>
      <c r="AA64" s="49">
        <f>IF(R64=" ",'Oct23'!AA54,R64+'Oct23'!AA54)</f>
        <v>0</v>
      </c>
      <c r="AC64" s="49">
        <f>IF(T64=" ",'Oct23'!AC54,T64+'Oct23'!AC54)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IF(T$59="Y",'Oct23'!H55,0)</f>
        <v>0</v>
      </c>
      <c r="I65" s="245">
        <f>IF(T$59="Y",'Oct23'!I55,0)</f>
        <v>0</v>
      </c>
      <c r="J65" s="245">
        <f>IF(T$59="Y",'Oct23'!J55,0)</f>
        <v>0</v>
      </c>
      <c r="K65" s="245">
        <f>IF(T$59="Y",'Oct23'!K55,I65*J65)</f>
        <v>0</v>
      </c>
      <c r="L65" s="246">
        <f>IF(T$59="Y",'Oct23'!L55,0)</f>
        <v>0</v>
      </c>
      <c r="M65" s="100" t="str">
        <f>IF(E65=" "," ",IF(T$59="Y",'Oct23'!M55,IF((H65+K65+L65)&gt;0,H65+K65+L65,"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IF(Employee!H$139=E$59,Employee!D$138+SUM(M65)+'Oct23'!V55,SUM(M65)+'Oct23'!V55)</f>
        <v>0</v>
      </c>
      <c r="W65" s="49">
        <f>IF(Employee!H$139=E$59,Employee!D$139+SUM(N65)+'Oct23'!W55,SUM(N65)+'Oct23'!W55)</f>
        <v>0</v>
      </c>
      <c r="X65" s="49">
        <f>IF(O65=" ",'Oct23'!X55,O65+'Oct23'!X55)</f>
        <v>0</v>
      </c>
      <c r="Y65" s="49">
        <f>IF(P65=" ",'Oct23'!Y55,P65+'Oct23'!Y55)</f>
        <v>0</v>
      </c>
      <c r="Z65" s="49">
        <f>IF(Q65=" ",'Oct23'!Z55,Q65+'Oct23'!Z55)</f>
        <v>0</v>
      </c>
      <c r="AA65" s="49">
        <f>IF(R65=" ",'Oct23'!AA55,R65+'Oct23'!AA55)</f>
        <v>0</v>
      </c>
      <c r="AC65" s="49">
        <f>IF(T65=" ",'Oct23'!AC55,T65+'Oct23'!AC55)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21">SUM(M61:M65)</f>
        <v>0</v>
      </c>
      <c r="N66" s="127">
        <f t="shared" si="21"/>
        <v>0</v>
      </c>
      <c r="O66" s="127">
        <f t="shared" si="21"/>
        <v>0</v>
      </c>
      <c r="P66" s="127">
        <f t="shared" si="21"/>
        <v>0</v>
      </c>
      <c r="Q66" s="127">
        <f t="shared" si="21"/>
        <v>0</v>
      </c>
      <c r="R66" s="127">
        <f t="shared" si="2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22">SUM(M70:M74)</f>
        <v>0</v>
      </c>
      <c r="N75" s="184">
        <f t="shared" si="22"/>
        <v>0</v>
      </c>
      <c r="O75" s="184">
        <f t="shared" si="22"/>
        <v>0</v>
      </c>
      <c r="P75" s="184">
        <f t="shared" si="22"/>
        <v>0</v>
      </c>
      <c r="Q75" s="184">
        <f t="shared" si="22"/>
        <v>0</v>
      </c>
      <c r="R75" s="184">
        <f t="shared" si="22"/>
        <v>0</v>
      </c>
      <c r="S75" s="188"/>
      <c r="T75" s="184">
        <f>SUM(T70:T74)</f>
        <v>0</v>
      </c>
      <c r="AD75" s="158">
        <f>AD70+'Oct23'!AD65</f>
        <v>0</v>
      </c>
      <c r="AE75" s="158">
        <f>AE70+'Oct23'!AE65</f>
        <v>0</v>
      </c>
      <c r="AF75" s="158">
        <f>AF70+'Oct23'!AF65</f>
        <v>0</v>
      </c>
      <c r="AG75" s="158">
        <f>AG70+'Oct23'!AG65</f>
        <v>0</v>
      </c>
    </row>
    <row r="76" spans="1:34" ht="14" thickTop="1" x14ac:dyDescent="0.15"/>
    <row r="77" spans="1:34" x14ac:dyDescent="0.15">
      <c r="AD77" s="162"/>
      <c r="AE77" s="158">
        <f>AE72+'Oct23'!AE67</f>
        <v>0</v>
      </c>
      <c r="AF77" s="158">
        <f>AF72+'Oct23'!AF67</f>
        <v>0</v>
      </c>
      <c r="AG77" s="158">
        <f>AG72+'Oct23'!AG67</f>
        <v>0</v>
      </c>
    </row>
  </sheetData>
  <mergeCells count="85">
    <mergeCell ref="I3:I6"/>
    <mergeCell ref="I1:L1"/>
    <mergeCell ref="X3:X6"/>
    <mergeCell ref="M3:M6"/>
    <mergeCell ref="B48:E48"/>
    <mergeCell ref="O48:Q48"/>
    <mergeCell ref="R48:T48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L3:L6"/>
    <mergeCell ref="N3:N6"/>
    <mergeCell ref="G1:H1"/>
    <mergeCell ref="J3:J6"/>
    <mergeCell ref="K3:K6"/>
    <mergeCell ref="F3:F6"/>
    <mergeCell ref="H3:H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6:G66"/>
    <mergeCell ref="B37:T37"/>
    <mergeCell ref="B38:E38"/>
    <mergeCell ref="B39:D39"/>
    <mergeCell ref="H39:J39"/>
    <mergeCell ref="O39:R39"/>
    <mergeCell ref="F46:G46"/>
    <mergeCell ref="B58:E58"/>
    <mergeCell ref="B59:D59"/>
    <mergeCell ref="H59:J59"/>
    <mergeCell ref="O59:R59"/>
    <mergeCell ref="O58:Q58"/>
    <mergeCell ref="F56:G56"/>
    <mergeCell ref="B49:D49"/>
    <mergeCell ref="H49:J49"/>
    <mergeCell ref="O49:R49"/>
    <mergeCell ref="AD1:AG2"/>
    <mergeCell ref="AD3:AD6"/>
    <mergeCell ref="AE3:AE6"/>
    <mergeCell ref="AF3:AF6"/>
    <mergeCell ref="AG3:AG6"/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</mergeCells>
  <phoneticPr fontId="6" type="noConversion"/>
  <dataValidations count="1">
    <dataValidation type="list" allowBlank="1" showInputMessage="1" showErrorMessage="1" sqref="G61:G65 G31:G35 G11:G15 G21:G25 G41:G45 G51:G5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4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SUM(AD60:AG60)+SUM(AE62:AG62)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36</v>
      </c>
      <c r="F9" s="35"/>
      <c r="G9" s="35"/>
      <c r="H9" s="410" t="s">
        <v>28</v>
      </c>
      <c r="I9" s="408"/>
      <c r="J9" s="409"/>
      <c r="K9" s="204">
        <f>Admin!B244</f>
        <v>45264</v>
      </c>
      <c r="L9" s="203" t="s">
        <v>75</v>
      </c>
      <c r="M9" s="205">
        <f>K9+6</f>
        <v>45270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IF(T$9="Y",'Nov23'!H51,0)</f>
        <v>0</v>
      </c>
      <c r="I11" s="89">
        <f>IF(T$9="Y",'Nov23'!I51,0)</f>
        <v>0</v>
      </c>
      <c r="J11" s="89">
        <f>IF(T$9="Y",'Nov23'!J51,0)</f>
        <v>0</v>
      </c>
      <c r="K11" s="89">
        <f>IF(T$9="Y",'Nov23'!K51,I11*J11)</f>
        <v>0</v>
      </c>
      <c r="L11" s="110">
        <f>IF(T$9="Y",'Nov23'!L51,0)</f>
        <v>0</v>
      </c>
      <c r="M11" s="110" t="str">
        <f>IF(E11=" "," ",IF(T$9="Y",'Nov23'!M51,IF((H11+K11+L11)&gt;0,H11+K11+L11,"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IF(Employee!H$34=E$9,Employee!D$34+SUM(M11)+'Nov23'!V51,SUM(M11)+'Nov23'!V51)</f>
        <v>0</v>
      </c>
      <c r="W11" s="49">
        <f>IF(Employee!H$34=E$9,Employee!D$35+SUM(N11)+'Nov23'!W51,SUM(N11)+'Nov23'!W51)</f>
        <v>0</v>
      </c>
      <c r="X11" s="49">
        <f>IF(O11=" ",'Nov23'!X51,O11+'Nov23'!X51)</f>
        <v>0</v>
      </c>
      <c r="Y11" s="49">
        <f>IF(P11=" ",'Nov23'!Y51,P11+'Nov23'!Y51)</f>
        <v>0</v>
      </c>
      <c r="Z11" s="49">
        <f>IF(Q11=" ",'Nov23'!Z51,Q11+'Nov23'!Z51)</f>
        <v>0</v>
      </c>
      <c r="AA11" s="49">
        <f>IF(R11=" ",'Nov23'!AA51,R11+'Nov23'!AA51)</f>
        <v>0</v>
      </c>
      <c r="AC11" s="49">
        <f>IF(T11=" ",'Nov23'!AC51,T11+'Nov23'!AC51)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IF(T$9="Y",'Nov23'!H52,0)</f>
        <v>0</v>
      </c>
      <c r="I12" s="92">
        <f>IF(T$9="Y",'Nov23'!I52,0)</f>
        <v>0</v>
      </c>
      <c r="J12" s="92">
        <f>IF(T$9="Y",'Nov23'!J52,0)</f>
        <v>0</v>
      </c>
      <c r="K12" s="92">
        <f>IF(T$9="Y",'Nov23'!K52,I12*J12)</f>
        <v>0</v>
      </c>
      <c r="L12" s="111">
        <f>IF(T$9="Y",'Nov23'!L52,0)</f>
        <v>0</v>
      </c>
      <c r="M12" s="111" t="str">
        <f>IF(E12=" "," ",IF(T$9="Y",'Nov23'!M52,IF((H12+K12+L12)&gt;0,H12+K12+L12,"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IF(Employee!H$60=E$9,Employee!D$60+SUM(M12)+'Nov23'!V52,SUM(M12)+'Nov23'!V52)</f>
        <v>0</v>
      </c>
      <c r="W12" s="49">
        <f>IF(Employee!H$60=E$9,Employee!D$61+SUM(N12)+'Nov23'!W52,SUM(N12)+'Nov23'!W52)</f>
        <v>0</v>
      </c>
      <c r="X12" s="49">
        <f>IF(O12=" ",'Nov23'!X52,O12+'Nov23'!X52)</f>
        <v>0</v>
      </c>
      <c r="Y12" s="49">
        <f>IF(P12=" ",'Nov23'!Y52,P12+'Nov23'!Y52)</f>
        <v>0</v>
      </c>
      <c r="Z12" s="49">
        <f>IF(Q12=" ",'Nov23'!Z52,Q12+'Nov23'!Z52)</f>
        <v>0</v>
      </c>
      <c r="AA12" s="49">
        <f>IF(R12=" ",'Nov23'!AA52,R12+'Nov23'!AA52)</f>
        <v>0</v>
      </c>
      <c r="AC12" s="49">
        <f>IF(T12=" ",'Nov23'!AC52,T12+'Nov23'!AC52)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IF(T$9="Y",'Nov23'!H53,0)</f>
        <v>0</v>
      </c>
      <c r="I13" s="89">
        <f>IF(T$9="Y",'Nov23'!I53,0)</f>
        <v>0</v>
      </c>
      <c r="J13" s="89">
        <f>IF(T$9="Y",'Nov23'!J53,0)</f>
        <v>0</v>
      </c>
      <c r="K13" s="89">
        <f>IF(T$9="Y",'Nov23'!K53,I13*J13)</f>
        <v>0</v>
      </c>
      <c r="L13" s="110">
        <f>IF(T$9="Y",'Nov23'!L53,0)</f>
        <v>0</v>
      </c>
      <c r="M13" s="110" t="str">
        <f>IF(E13=" "," ",IF(T$9="Y",'Nov23'!M53,IF((H13+K13+L13)&gt;0,H13+K13+L13,"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IF(Employee!H$86=E$9,Employee!D$86+SUM(M13)+'Nov23'!V53,SUM(M13)+'Nov23'!V53)</f>
        <v>0</v>
      </c>
      <c r="W13" s="49">
        <f>IF(Employee!H$86=E$9,Employee!D$87+SUM(N13)+'Nov23'!W53,SUM(N13)+'Nov23'!W53)</f>
        <v>0</v>
      </c>
      <c r="X13" s="49">
        <f>IF(O13=" ",'Nov23'!X53,O13+'Nov23'!X53)</f>
        <v>0</v>
      </c>
      <c r="Y13" s="49">
        <f>IF(P13=" ",'Nov23'!Y53,P13+'Nov23'!Y53)</f>
        <v>0</v>
      </c>
      <c r="Z13" s="49">
        <f>IF(Q13=" ",'Nov23'!Z53,Q13+'Nov23'!Z53)</f>
        <v>0</v>
      </c>
      <c r="AA13" s="49">
        <f>IF(R13=" ",'Nov23'!AA53,R13+'Nov23'!AA53)</f>
        <v>0</v>
      </c>
      <c r="AC13" s="49">
        <f>IF(T13=" ",'Nov23'!AC53,T13+'Nov23'!AC53)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IF(T$9="Y",'Nov23'!H54,0)</f>
        <v>0</v>
      </c>
      <c r="I14" s="92">
        <f>IF(T$9="Y",'Nov23'!I54,0)</f>
        <v>0</v>
      </c>
      <c r="J14" s="92">
        <f>IF(T$9="Y",'Nov23'!J54,0)</f>
        <v>0</v>
      </c>
      <c r="K14" s="92">
        <f>IF(T$9="Y",'Nov23'!K54,I14*J14)</f>
        <v>0</v>
      </c>
      <c r="L14" s="111">
        <f>IF(T$9="Y",'Nov23'!L54,0)</f>
        <v>0</v>
      </c>
      <c r="M14" s="111" t="str">
        <f>IF(E14=" "," ",IF(T$9="Y",'Nov23'!M54,IF((H14+K14+L14)&gt;0,H14+K14+L14,"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IF(Employee!H$112=E$9,Employee!D$112+SUM(M14)+'Nov23'!V54,SUM(M14)+'Nov23'!V54)</f>
        <v>0</v>
      </c>
      <c r="W14" s="49">
        <f>IF(Employee!H$112=E$9,Employee!D$113+SUM(N14)+'Nov23'!W54,SUM(N14)+'Nov23'!W54)</f>
        <v>0</v>
      </c>
      <c r="X14" s="49">
        <f>IF(O14=" ",'Nov23'!X54,O14+'Nov23'!X54)</f>
        <v>0</v>
      </c>
      <c r="Y14" s="49">
        <f>IF(P14=" ",'Nov23'!Y54,P14+'Nov23'!Y54)</f>
        <v>0</v>
      </c>
      <c r="Z14" s="49">
        <f>IF(Q14=" ",'Nov23'!Z54,Q14+'Nov23'!Z54)</f>
        <v>0</v>
      </c>
      <c r="AA14" s="49">
        <f>IF(R14=" ",'Nov23'!AA54,R14+'Nov23'!AA54)</f>
        <v>0</v>
      </c>
      <c r="AC14" s="49">
        <f>IF(T14=" ",'Nov23'!AC54,T14+'Nov23'!AC54)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IF(T$9="Y",'Nov23'!H55,0)</f>
        <v>0</v>
      </c>
      <c r="I15" s="89">
        <f>IF(T$9="Y",'Nov23'!I55,0)</f>
        <v>0</v>
      </c>
      <c r="J15" s="89">
        <f>IF(T$9="Y",'Nov23'!J55,0)</f>
        <v>0</v>
      </c>
      <c r="K15" s="89">
        <f>IF(T$9="Y",'Nov23'!K55,I15*J15)</f>
        <v>0</v>
      </c>
      <c r="L15" s="110">
        <f>IF(T$9="Y",'Nov23'!L55,0)</f>
        <v>0</v>
      </c>
      <c r="M15" s="110" t="str">
        <f>IF(E15=" "," ",IF(T$9="Y",'Nov23'!M55,IF((H15+K15+L15)&gt;0,H15+K15+L15,"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IF(Employee!H$138=E$9,Employee!D$138+SUM(M15)+'Nov23'!V55,SUM(M15)+'Nov23'!V55)</f>
        <v>0</v>
      </c>
      <c r="W15" s="49">
        <f>IF(Employee!H$138=E$9,Employee!D$139+SUM(N15)+'Nov23'!W55,SUM(N15)+'Nov23'!W55)</f>
        <v>0</v>
      </c>
      <c r="X15" s="49">
        <f>IF(O15=" ",'Nov23'!X55,O15+'Nov23'!X55)</f>
        <v>0</v>
      </c>
      <c r="Y15" s="49">
        <f>IF(P15=" ",'Nov23'!Y55,P15+'Nov23'!Y55)</f>
        <v>0</v>
      </c>
      <c r="Z15" s="49">
        <f>IF(Q15=" ",'Nov23'!Z55,Q15+'Nov23'!Z55)</f>
        <v>0</v>
      </c>
      <c r="AA15" s="49">
        <f>IF(R15=" ",'Nov23'!AA55,R15+'Nov23'!AA55)</f>
        <v>0</v>
      </c>
      <c r="AC15" s="49">
        <f>IF(T15=" ",'Nov23'!AC55,T15+'Nov23'!AC55)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37</v>
      </c>
      <c r="F19" s="35"/>
      <c r="G19" s="35"/>
      <c r="H19" s="410" t="s">
        <v>28</v>
      </c>
      <c r="I19" s="408"/>
      <c r="J19" s="409"/>
      <c r="K19" s="204">
        <f>M9+1</f>
        <v>45271</v>
      </c>
      <c r="L19" s="203" t="s">
        <v>75</v>
      </c>
      <c r="M19" s="205">
        <f>K19+6</f>
        <v>45277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38</v>
      </c>
      <c r="F29" s="35"/>
      <c r="G29" s="35"/>
      <c r="H29" s="410" t="s">
        <v>28</v>
      </c>
      <c r="I29" s="408"/>
      <c r="J29" s="409"/>
      <c r="K29" s="204">
        <f>M19+1</f>
        <v>45278</v>
      </c>
      <c r="L29" s="203" t="s">
        <v>75</v>
      </c>
      <c r="M29" s="205">
        <f>K29+6</f>
        <v>45284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39</v>
      </c>
      <c r="F39" s="35"/>
      <c r="G39" s="35"/>
      <c r="H39" s="410" t="s">
        <v>28</v>
      </c>
      <c r="I39" s="464"/>
      <c r="J39" s="465"/>
      <c r="K39" s="204">
        <f>M29+1</f>
        <v>45285</v>
      </c>
      <c r="L39" s="203" t="s">
        <v>75</v>
      </c>
      <c r="M39" s="205">
        <f>K39+6</f>
        <v>45291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9</v>
      </c>
      <c r="F49" s="35"/>
      <c r="G49" s="35"/>
      <c r="H49" s="410" t="s">
        <v>28</v>
      </c>
      <c r="I49" s="408"/>
      <c r="J49" s="409"/>
      <c r="K49" s="204">
        <f>Admin!B241</f>
        <v>45261</v>
      </c>
      <c r="L49" s="203" t="s">
        <v>75</v>
      </c>
      <c r="M49" s="205">
        <f>Admin!B271</f>
        <v>45291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IF(T$49="Y",'Nov23'!H61,0)</f>
        <v>0</v>
      </c>
      <c r="I51" s="89">
        <f>IF(T$49="Y",'Nov23'!I61,0)</f>
        <v>0</v>
      </c>
      <c r="J51" s="89">
        <f>IF(T$49="Y",'Nov23'!J61,0)</f>
        <v>0</v>
      </c>
      <c r="K51" s="89">
        <f>IF(T$49="Y",'Nov23'!K61,I51*J51)</f>
        <v>0</v>
      </c>
      <c r="L51" s="110">
        <f>IF(T$49="Y",'Nov23'!L61,0)</f>
        <v>0</v>
      </c>
      <c r="M51" s="99" t="str">
        <f>IF(E51=" "," ",IF(T$49="Y",'Nov23'!M61,IF((H51+K51+L51)&gt;0,H51+K51+L51,"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IF(Employee!H$35=E$49,Employee!D$34+SUM(M51)+'Nov23'!V61,SUM(M51)+'Nov23'!V61)</f>
        <v>0</v>
      </c>
      <c r="W51" s="49">
        <f>IF(Employee!H$35=E$49,Employee!D$35+SUM(N51)+'Nov23'!W61,SUM(N51)+'Nov23'!W61)</f>
        <v>0</v>
      </c>
      <c r="X51" s="49">
        <f>IF(O51=" ",'Nov23'!X61,O51+'Nov23'!X61)</f>
        <v>0</v>
      </c>
      <c r="Y51" s="49">
        <f>IF(P51=" ",'Nov23'!Y61,P51+'Nov23'!Y61)</f>
        <v>0</v>
      </c>
      <c r="Z51" s="49">
        <f>IF(Q51=" ",'Nov23'!Z61,Q51+'Nov23'!Z61)</f>
        <v>0</v>
      </c>
      <c r="AA51" s="49">
        <f>IF(R51=" ",'Nov23'!AA61,R51+'Nov23'!AA61)</f>
        <v>0</v>
      </c>
      <c r="AC51" s="49">
        <f>IF(T51=" ",'Nov23'!AC61,T51+'Nov23'!AC61)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IF(T$49="Y",'Nov23'!H62,0)</f>
        <v>0</v>
      </c>
      <c r="I52" s="92">
        <f>IF(T$49="Y",'Nov23'!I62,0)</f>
        <v>0</v>
      </c>
      <c r="J52" s="92">
        <f>IF(T$49="Y",'Nov23'!J62,0)</f>
        <v>0</v>
      </c>
      <c r="K52" s="92">
        <f>IF(T$49="Y",'Nov23'!K62,I52*J52)</f>
        <v>0</v>
      </c>
      <c r="L52" s="111">
        <f>IF(T$49="Y",'Nov23'!L62,0)</f>
        <v>0</v>
      </c>
      <c r="M52" s="100" t="str">
        <f>IF(E52=" "," ",IF(T$49="Y",'Nov23'!M62,IF((H52+K52+L52)&gt;0,H52+K52+L52,"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IF(Employee!H$61=E$49,Employee!D$60+SUM(M52)+'Nov23'!V62,SUM(M52)+'Nov23'!V62)</f>
        <v>0</v>
      </c>
      <c r="W52" s="49">
        <f>IF(Employee!H$61=E$49,Employee!D$61+SUM(N52)+'Nov23'!W62,SUM(N52)+'Nov23'!W62)</f>
        <v>0</v>
      </c>
      <c r="X52" s="49">
        <f>IF(O52=" ",'Nov23'!X62,O52+'Nov23'!X62)</f>
        <v>0</v>
      </c>
      <c r="Y52" s="49">
        <f>IF(P52=" ",'Nov23'!Y62,P52+'Nov23'!Y62)</f>
        <v>0</v>
      </c>
      <c r="Z52" s="49">
        <f>IF(Q52=" ",'Nov23'!Z62,Q52+'Nov23'!Z62)</f>
        <v>0</v>
      </c>
      <c r="AA52" s="49">
        <f>IF(R52=" ",'Nov23'!AA62,R52+'Nov23'!AA62)</f>
        <v>0</v>
      </c>
      <c r="AC52" s="49">
        <f>IF(T52=" ",'Nov23'!AC62,T52+'Nov23'!AC62)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IF(T$49="Y",'Nov23'!H63,0)</f>
        <v>0</v>
      </c>
      <c r="I53" s="92">
        <f>IF(T$49="Y",'Nov23'!I63,0)</f>
        <v>0</v>
      </c>
      <c r="J53" s="92">
        <f>IF(T$49="Y",'Nov23'!J63,0)</f>
        <v>0</v>
      </c>
      <c r="K53" s="92">
        <f>IF(T$49="Y",'Nov23'!K63,I53*J53)</f>
        <v>0</v>
      </c>
      <c r="L53" s="111">
        <f>IF(T$49="Y",'Nov23'!L63,0)</f>
        <v>0</v>
      </c>
      <c r="M53" s="100" t="str">
        <f>IF(E53=" "," ",IF(T$49="Y",'Nov23'!M63,IF((H53+K53+L53)&gt;0,H53+K53+L53,"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IF(Employee!H$87=E$49,Employee!D$86+SUM(M53)+'Nov23'!V63,SUM(M53)+'Nov23'!V63)</f>
        <v>0</v>
      </c>
      <c r="W53" s="49">
        <f>IF(Employee!H$87=E$49,Employee!D$87+SUM(N53)+'Nov23'!W63,SUM(N53)+'Nov23'!W63)</f>
        <v>0</v>
      </c>
      <c r="X53" s="49">
        <f>IF(O53=" ",'Nov23'!X63,O53+'Nov23'!X63)</f>
        <v>0</v>
      </c>
      <c r="Y53" s="49">
        <f>IF(P53=" ",'Nov23'!Y63,P53+'Nov23'!Y63)</f>
        <v>0</v>
      </c>
      <c r="Z53" s="49">
        <f>IF(Q53=" ",'Nov23'!Z63,Q53+'Nov23'!Z63)</f>
        <v>0</v>
      </c>
      <c r="AA53" s="49">
        <f>IF(R53=" ",'Nov23'!AA63,R53+'Nov23'!AA63)</f>
        <v>0</v>
      </c>
      <c r="AC53" s="49">
        <f>IF(T53=" ",'Nov23'!AC63,T53+'Nov23'!AC63)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IF(T$49="Y",'Nov23'!H64,0)</f>
        <v>0</v>
      </c>
      <c r="I54" s="92">
        <f>IF(T$49="Y",'Nov23'!I64,0)</f>
        <v>0</v>
      </c>
      <c r="J54" s="92">
        <f>IF(T$49="Y",'Nov23'!J64,0)</f>
        <v>0</v>
      </c>
      <c r="K54" s="92">
        <f>IF(T$49="Y",'Nov23'!K64,I54*J54)</f>
        <v>0</v>
      </c>
      <c r="L54" s="111">
        <f>IF(T$49="Y",'Nov23'!L64,0)</f>
        <v>0</v>
      </c>
      <c r="M54" s="100" t="str">
        <f>IF(E54=" "," ",IF(T$49="Y",'Nov23'!M64,IF((H54+K54+L54)&gt;0,H54+K54+L54,"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IF(Employee!H$113=E$49,Employee!D$112+SUM(M54)+'Nov23'!V64,SUM(M54)+'Nov23'!V64)</f>
        <v>0</v>
      </c>
      <c r="W54" s="49">
        <f>IF(Employee!H$113=E$49,Employee!D$113+SUM(N54)+'Nov23'!W64,SUM(N54)+'Nov23'!W64)</f>
        <v>0</v>
      </c>
      <c r="X54" s="49">
        <f>IF(O54=" ",'Nov23'!X64,O54+'Nov23'!X64)</f>
        <v>0</v>
      </c>
      <c r="Y54" s="49">
        <f>IF(P54=" ",'Nov23'!Y64,P54+'Nov23'!Y64)</f>
        <v>0</v>
      </c>
      <c r="Z54" s="49">
        <f>IF(Q54=" ",'Nov23'!Z64,Q54+'Nov23'!Z64)</f>
        <v>0</v>
      </c>
      <c r="AA54" s="49">
        <f>IF(R54=" ",'Nov23'!AA64,R54+'Nov23'!AA64)</f>
        <v>0</v>
      </c>
      <c r="AC54" s="49">
        <f>IF(T54=" ",'Nov23'!AC64,T54+'Nov23'!AC64)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IF(T$49="Y",'Nov23'!H65,0)</f>
        <v>0</v>
      </c>
      <c r="I55" s="245">
        <f>IF(T$49="Y",'Nov23'!I65,0)</f>
        <v>0</v>
      </c>
      <c r="J55" s="245">
        <f>IF(T$49="Y",'Nov23'!J65,0)</f>
        <v>0</v>
      </c>
      <c r="K55" s="245">
        <f>IF(T$49="Y",'Nov23'!K65,I55*J55)</f>
        <v>0</v>
      </c>
      <c r="L55" s="246">
        <f>IF(T$49="Y",'Nov23'!L65,0)</f>
        <v>0</v>
      </c>
      <c r="M55" s="100" t="str">
        <f>IF(E55=" "," ",IF(T$49="Y",'Nov23'!M65,IF((H55+K55+L55)&gt;0,H55+K55+L55,"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IF(Employee!H$139=E$49,Employee!D$138+SUM(M55)+'Nov23'!V65,SUM(M55)+'Nov23'!V65)</f>
        <v>0</v>
      </c>
      <c r="W55" s="49">
        <f>IF(Employee!H$139=E$49,Employee!D$139+SUM(N55)+'Nov23'!W65,SUM(N55)+'Nov23'!W65)</f>
        <v>0</v>
      </c>
      <c r="X55" s="49">
        <f>IF(O55=" ",'Nov23'!X65,O55+'Nov23'!X65)</f>
        <v>0</v>
      </c>
      <c r="Y55" s="49">
        <f>IF(P55=" ",'Nov23'!Y65,P55+'Nov23'!Y65)</f>
        <v>0</v>
      </c>
      <c r="Z55" s="49">
        <f>IF(Q55=" ",'Nov23'!Z65,Q55+'Nov23'!Z65)</f>
        <v>0</v>
      </c>
      <c r="AA55" s="49">
        <f>IF(R55=" ",'Nov23'!AA65,R55+'Nov23'!AA65)</f>
        <v>0</v>
      </c>
      <c r="AC55" s="49">
        <f>IF(T55=" ",'Nov23'!AC65,T55+'Nov23'!AC65)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AD60+'Nov23'!AD75</f>
        <v>0</v>
      </c>
      <c r="AE65" s="158">
        <f>AE60+'Nov23'!AE75</f>
        <v>0</v>
      </c>
      <c r="AF65" s="158">
        <f>AF60+'Nov23'!AF75</f>
        <v>0</v>
      </c>
      <c r="AG65" s="158">
        <f>AG60+'Nov23'!AG75</f>
        <v>0</v>
      </c>
    </row>
    <row r="66" spans="6:33" ht="14" thickTop="1" x14ac:dyDescent="0.15"/>
    <row r="67" spans="6:33" x14ac:dyDescent="0.15">
      <c r="AD67" s="162"/>
      <c r="AE67" s="158">
        <f>AE62+'Nov23'!AE77</f>
        <v>0</v>
      </c>
      <c r="AF67" s="158">
        <f>AF62+'Nov23'!AF77</f>
        <v>0</v>
      </c>
      <c r="AG67" s="158">
        <f>AG62+'Nov23'!AG77</f>
        <v>0</v>
      </c>
    </row>
  </sheetData>
  <mergeCells count="79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B37:T37"/>
    <mergeCell ref="B38:E38"/>
    <mergeCell ref="F46:G46"/>
    <mergeCell ref="B47:T47"/>
    <mergeCell ref="O38:Q38"/>
    <mergeCell ref="R38:T38"/>
    <mergeCell ref="B39:D39"/>
    <mergeCell ref="H39:J39"/>
    <mergeCell ref="O39:R39"/>
    <mergeCell ref="R8:T8"/>
    <mergeCell ref="B7:T7"/>
    <mergeCell ref="B8:E8"/>
    <mergeCell ref="M59:R59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O29:R2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O9:R9"/>
    <mergeCell ref="B19:D19"/>
    <mergeCell ref="H19:J19"/>
    <mergeCell ref="O19:R19"/>
    <mergeCell ref="F26:G26"/>
    <mergeCell ref="F16:G16"/>
    <mergeCell ref="B17:T17"/>
    <mergeCell ref="B29:D29"/>
    <mergeCell ref="O28:Q28"/>
    <mergeCell ref="O18:Q18"/>
    <mergeCell ref="R18:T18"/>
    <mergeCell ref="F36:G36"/>
    <mergeCell ref="B28:E28"/>
    <mergeCell ref="B27:T27"/>
    <mergeCell ref="B18:E18"/>
    <mergeCell ref="R28:T28"/>
  </mergeCells>
  <phoneticPr fontId="6" type="noConversion"/>
  <dataValidations count="1">
    <dataValidation type="list" allowBlank="1" showInputMessage="1" showErrorMessage="1" sqref="G51:G55 G41:G45 G21:G25 G11:G15 G31:G3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40</v>
      </c>
      <c r="F9" s="35"/>
      <c r="G9" s="35"/>
      <c r="H9" s="410" t="s">
        <v>28</v>
      </c>
      <c r="I9" s="408"/>
      <c r="J9" s="409"/>
      <c r="K9" s="204">
        <f>Admin!B272</f>
        <v>45292</v>
      </c>
      <c r="L9" s="203" t="s">
        <v>75</v>
      </c>
      <c r="M9" s="205">
        <f>K9+6</f>
        <v>45298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IF(T$9="Y",'Dec23'!H41,0)</f>
        <v>0</v>
      </c>
      <c r="I11" s="89">
        <f>IF(T$9="Y",'Dec23'!I41,0)</f>
        <v>0</v>
      </c>
      <c r="J11" s="89">
        <f>IF(T$9="Y",'Dec23'!J41,0)</f>
        <v>0</v>
      </c>
      <c r="K11" s="89">
        <f>IF(T$9="Y",'Dec23'!K41,I11*J11)</f>
        <v>0</v>
      </c>
      <c r="L11" s="110">
        <f>IF(T$9="Y",'Dec23'!L41,0)</f>
        <v>0</v>
      </c>
      <c r="M11" s="110" t="str">
        <f>IF(E11=" "," ",IF(T$9="Y",'Dec23'!M41,IF((H11+K11+L11)&gt;0,H11+K11+L11,"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IF(Employee!H$34=E$9,Employee!D$34+SUM(M11)+'Dec23'!V41,SUM(M11)+'Dec23'!V41)</f>
        <v>0</v>
      </c>
      <c r="W11" s="49">
        <f>IF(Employee!H$34=E$9,Employee!D$35+SUM(N11)+'Dec23'!W41,SUM(N11)+'Dec23'!W41)</f>
        <v>0</v>
      </c>
      <c r="X11" s="49">
        <f>IF(O11=" ",'Dec23'!X41,O11+'Dec23'!X41)</f>
        <v>0</v>
      </c>
      <c r="Y11" s="49">
        <f>IF(P11=" ",'Dec23'!Y41,P11+'Dec23'!Y41)</f>
        <v>0</v>
      </c>
      <c r="Z11" s="49">
        <f>IF(Q11=" ",'Dec23'!Z41,Q11+'Dec23'!Z41)</f>
        <v>0</v>
      </c>
      <c r="AA11" s="49">
        <f>IF(R11=" ",'Dec23'!AA41,R11+'Dec23'!AA41)</f>
        <v>0</v>
      </c>
      <c r="AC11" s="49">
        <f>IF(T11=" ",'Dec23'!AC41,T11+'Dec23'!AC41)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IF(T$9="Y",'Dec23'!H42,0)</f>
        <v>0</v>
      </c>
      <c r="I12" s="92">
        <f>IF(T$9="Y",'Dec23'!I42,0)</f>
        <v>0</v>
      </c>
      <c r="J12" s="92">
        <f>IF(T$9="Y",'Dec23'!J42,0)</f>
        <v>0</v>
      </c>
      <c r="K12" s="92">
        <f>IF(T$9="Y",'Dec23'!K42,I12*J12)</f>
        <v>0</v>
      </c>
      <c r="L12" s="111">
        <f>IF(T$9="Y",'Dec23'!L42,0)</f>
        <v>0</v>
      </c>
      <c r="M12" s="111" t="str">
        <f>IF(E12=" "," ",IF(T$9="Y",'Dec23'!M42,IF((H12+K12+L12)&gt;0,H12+K12+L12,"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IF(Employee!H$60=E$9,Employee!D$60+SUM(M12)+'Dec23'!V42,SUM(M12)+'Dec23'!V42)</f>
        <v>0</v>
      </c>
      <c r="W12" s="49">
        <f>IF(Employee!H$60=E$9,Employee!D$61+SUM(N12)+'Dec23'!W42,SUM(N12)+'Dec23'!W42)</f>
        <v>0</v>
      </c>
      <c r="X12" s="49">
        <f>IF(O12=" ",'Dec23'!X42,O12+'Dec23'!X42)</f>
        <v>0</v>
      </c>
      <c r="Y12" s="49">
        <f>IF(P12=" ",'Dec23'!Y42,P12+'Dec23'!Y42)</f>
        <v>0</v>
      </c>
      <c r="Z12" s="49">
        <f>IF(Q12=" ",'Dec23'!Z42,Q12+'Dec23'!Z42)</f>
        <v>0</v>
      </c>
      <c r="AA12" s="49">
        <f>IF(R12=" ",'Dec23'!AA42,R12+'Dec23'!AA42)</f>
        <v>0</v>
      </c>
      <c r="AC12" s="49">
        <f>IF(T12=" ",'Dec23'!AC42,T12+'Dec23'!AC42)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IF(T$9="Y",'Dec23'!H43,0)</f>
        <v>0</v>
      </c>
      <c r="I13" s="89">
        <f>IF(T$9="Y",'Dec23'!I43,0)</f>
        <v>0</v>
      </c>
      <c r="J13" s="89">
        <f>IF(T$9="Y",'Dec23'!J43,0)</f>
        <v>0</v>
      </c>
      <c r="K13" s="89">
        <f>IF(T$9="Y",'Dec23'!K43,I13*J13)</f>
        <v>0</v>
      </c>
      <c r="L13" s="110">
        <f>IF(T$9="Y",'Dec23'!L43,0)</f>
        <v>0</v>
      </c>
      <c r="M13" s="110" t="str">
        <f>IF(E13=" "," ",IF(T$9="Y",'Dec23'!M43,IF((H13+K13+L13)&gt;0,H13+K13+L13,"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IF(Employee!H$86=E$9,Employee!D$86+SUM(M13)+'Dec23'!V43,SUM(M13)+'Dec23'!V43)</f>
        <v>0</v>
      </c>
      <c r="W13" s="49">
        <f>IF(Employee!H$86=E$9,Employee!D$87+SUM(N13)+'Dec23'!W43,SUM(N13)+'Dec23'!W43)</f>
        <v>0</v>
      </c>
      <c r="X13" s="49">
        <f>IF(O13=" ",'Dec23'!X43,O13+'Dec23'!X43)</f>
        <v>0</v>
      </c>
      <c r="Y13" s="49">
        <f>IF(P13=" ",'Dec23'!Y43,P13+'Dec23'!Y43)</f>
        <v>0</v>
      </c>
      <c r="Z13" s="49">
        <f>IF(Q13=" ",'Dec23'!Z43,Q13+'Dec23'!Z43)</f>
        <v>0</v>
      </c>
      <c r="AA13" s="49">
        <f>IF(R13=" ",'Dec23'!AA43,R13+'Dec23'!AA43)</f>
        <v>0</v>
      </c>
      <c r="AC13" s="49">
        <f>IF(T13=" ",'Dec23'!AC43,T13+'Dec23'!AC43)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IF(T$9="Y",'Dec23'!H44,0)</f>
        <v>0</v>
      </c>
      <c r="I14" s="92">
        <f>IF(T$9="Y",'Dec23'!I44,0)</f>
        <v>0</v>
      </c>
      <c r="J14" s="92">
        <f>IF(T$9="Y",'Dec23'!J44,0)</f>
        <v>0</v>
      </c>
      <c r="K14" s="92">
        <f>IF(T$9="Y",'Dec23'!K44,I14*J14)</f>
        <v>0</v>
      </c>
      <c r="L14" s="111">
        <f>IF(T$9="Y",'Dec23'!L44,0)</f>
        <v>0</v>
      </c>
      <c r="M14" s="111" t="str">
        <f>IF(E14=" "," ",IF(T$9="Y",'Dec23'!M44,IF((H14+K14+L14)&gt;0,H14+K14+L14,"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IF(Employee!H$112=E$9,Employee!D$112+SUM(M14)+'Dec23'!V44,SUM(M14)+'Dec23'!V44)</f>
        <v>0</v>
      </c>
      <c r="W14" s="49">
        <f>IF(Employee!H$112=E$9,Employee!D$113+SUM(N14)+'Dec23'!W44,SUM(N14)+'Dec23'!W44)</f>
        <v>0</v>
      </c>
      <c r="X14" s="49">
        <f>IF(O14=" ",'Dec23'!X44,O14+'Dec23'!X44)</f>
        <v>0</v>
      </c>
      <c r="Y14" s="49">
        <f>IF(P14=" ",'Dec23'!Y44,P14+'Dec23'!Y44)</f>
        <v>0</v>
      </c>
      <c r="Z14" s="49">
        <f>IF(Q14=" ",'Dec23'!Z44,Q14+'Dec23'!Z44)</f>
        <v>0</v>
      </c>
      <c r="AA14" s="49">
        <f>IF(R14=" ",'Dec23'!AA44,R14+'Dec23'!AA44)</f>
        <v>0</v>
      </c>
      <c r="AC14" s="49">
        <f>IF(T14=" ",'Dec23'!AC44,T14+'Dec23'!AC44)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IF(T$9="Y",'Dec23'!H45,0)</f>
        <v>0</v>
      </c>
      <c r="I15" s="89">
        <f>IF(T$9="Y",'Dec23'!I45,0)</f>
        <v>0</v>
      </c>
      <c r="J15" s="89">
        <f>IF(T$9="Y",'Dec23'!J45,0)</f>
        <v>0</v>
      </c>
      <c r="K15" s="89">
        <f>IF(T$9="Y",'Dec23'!K45,I15*J15)</f>
        <v>0</v>
      </c>
      <c r="L15" s="110">
        <f>IF(T$9="Y",'Dec23'!L45,0)</f>
        <v>0</v>
      </c>
      <c r="M15" s="110" t="str">
        <f>IF(E15=" "," ",IF(T$9="Y",'Dec23'!M45,IF((H15+K15+L15)&gt;0,H15+K15+L15,"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IF(Employee!H$138=E$9,Employee!D$138+SUM(M15)+'Dec23'!V45,SUM(M15)+'Dec23'!V45)</f>
        <v>0</v>
      </c>
      <c r="W15" s="49">
        <f>IF(Employee!H$138=E$9,Employee!D$139+SUM(N15)+'Dec23'!W45,SUM(N15)+'Dec23'!W45)</f>
        <v>0</v>
      </c>
      <c r="X15" s="49">
        <f>IF(O15=" ",'Dec23'!X45,O15+'Dec23'!X45)</f>
        <v>0</v>
      </c>
      <c r="Y15" s="49">
        <f>IF(P15=" ",'Dec23'!Y45,P15+'Dec23'!Y45)</f>
        <v>0</v>
      </c>
      <c r="Z15" s="49">
        <f>IF(Q15=" ",'Dec23'!Z45,Q15+'Dec23'!Z45)</f>
        <v>0</v>
      </c>
      <c r="AA15" s="49">
        <f>IF(R15=" ",'Dec23'!AA45,R15+'Dec23'!AA45)</f>
        <v>0</v>
      </c>
      <c r="AC15" s="49">
        <f>IF(T15=" ",'Dec23'!AC45,T15+'Dec23'!AC45)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41</v>
      </c>
      <c r="F19" s="35"/>
      <c r="G19" s="35"/>
      <c r="H19" s="410" t="s">
        <v>28</v>
      </c>
      <c r="I19" s="408"/>
      <c r="J19" s="409"/>
      <c r="K19" s="204">
        <f>M9+1</f>
        <v>45299</v>
      </c>
      <c r="L19" s="203" t="s">
        <v>75</v>
      </c>
      <c r="M19" s="205">
        <f>K19+6</f>
        <v>45305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42</v>
      </c>
      <c r="F29" s="35"/>
      <c r="G29" s="35"/>
      <c r="H29" s="410" t="s">
        <v>28</v>
      </c>
      <c r="I29" s="408"/>
      <c r="J29" s="409"/>
      <c r="K29" s="204">
        <f>M19+1</f>
        <v>45306</v>
      </c>
      <c r="L29" s="203" t="s">
        <v>75</v>
      </c>
      <c r="M29" s="205">
        <f>K29+6</f>
        <v>45312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43</v>
      </c>
      <c r="F39" s="35"/>
      <c r="G39" s="35"/>
      <c r="H39" s="410" t="s">
        <v>28</v>
      </c>
      <c r="I39" s="464"/>
      <c r="J39" s="465"/>
      <c r="K39" s="204">
        <f>M29+1</f>
        <v>45313</v>
      </c>
      <c r="L39" s="203" t="s">
        <v>75</v>
      </c>
      <c r="M39" s="205">
        <f>K39+6</f>
        <v>45319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10</v>
      </c>
      <c r="F49" s="35"/>
      <c r="G49" s="35"/>
      <c r="H49" s="410" t="s">
        <v>28</v>
      </c>
      <c r="I49" s="408"/>
      <c r="J49" s="409"/>
      <c r="K49" s="204">
        <f>Admin!B272</f>
        <v>45292</v>
      </c>
      <c r="L49" s="203" t="s">
        <v>75</v>
      </c>
      <c r="M49" s="205">
        <f>Admin!B302</f>
        <v>45322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IF(T$49="Y",'Dec23'!H51,0)</f>
        <v>0</v>
      </c>
      <c r="I51" s="89">
        <f>IF(T$49="Y",'Dec23'!I51,0)</f>
        <v>0</v>
      </c>
      <c r="J51" s="89">
        <f>IF(T$49="Y",'Dec23'!J51,0)</f>
        <v>0</v>
      </c>
      <c r="K51" s="89">
        <f>IF(T$49="Y",'Dec23'!K51,I51*J51)</f>
        <v>0</v>
      </c>
      <c r="L51" s="110">
        <f>IF(T$49="Y",'Dec23'!L51,0)</f>
        <v>0</v>
      </c>
      <c r="M51" s="99" t="str">
        <f>IF(E51=" "," ",IF(T$49="Y",'Dec23'!M51,IF((H51+K51+L51)&gt;0,H51+K51+L51,"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IF(Employee!H$35=E$49,Employee!D$34+SUM(M51)+'Dec23'!V51,SUM(M51)+'Dec23'!V51)</f>
        <v>0</v>
      </c>
      <c r="W51" s="49">
        <f>IF(Employee!H$35=E$49,Employee!D$35+SUM(N51)+'Dec23'!W51,SUM(N51)+'Dec23'!W51)</f>
        <v>0</v>
      </c>
      <c r="X51" s="49">
        <f>IF(O51=" ",'Dec23'!X51,O51+'Dec23'!X51)</f>
        <v>0</v>
      </c>
      <c r="Y51" s="49">
        <f>IF(P51=" ",'Dec23'!Y51,P51+'Dec23'!Y51)</f>
        <v>0</v>
      </c>
      <c r="Z51" s="49">
        <f>IF(Q51=" ",'Dec23'!Z51,Q51+'Dec23'!Z51)</f>
        <v>0</v>
      </c>
      <c r="AA51" s="49">
        <f>IF(R51=" ",'Dec23'!AA51,R51+'Dec23'!AA51)</f>
        <v>0</v>
      </c>
      <c r="AC51" s="49">
        <f>IF(T51=" ",'Dec23'!AC51,T51+'Dec23'!AC51)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IF(T$49="Y",'Dec23'!H52,0)</f>
        <v>0</v>
      </c>
      <c r="I52" s="92">
        <f>IF(T$49="Y",'Dec23'!I52,0)</f>
        <v>0</v>
      </c>
      <c r="J52" s="92">
        <f>IF(T$49="Y",'Dec23'!J52,0)</f>
        <v>0</v>
      </c>
      <c r="K52" s="92">
        <f>IF(T$49="Y",'Dec23'!K52,I52*J52)</f>
        <v>0</v>
      </c>
      <c r="L52" s="111">
        <f>IF(T$49="Y",'Dec23'!L52,0)</f>
        <v>0</v>
      </c>
      <c r="M52" s="100" t="str">
        <f>IF(E52=" "," ",IF(T$49="Y",'Dec23'!M52,IF((H52+K52+L52)&gt;0,H52+K52+L52,"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IF(Employee!H$61=E$49,Employee!D$60+SUM(M52)+'Dec23'!V52,SUM(M52)+'Dec23'!V52)</f>
        <v>0</v>
      </c>
      <c r="W52" s="49">
        <f>IF(Employee!H$61=E$49,Employee!D$61+SUM(N52)+'Dec23'!W52,SUM(N52)+'Dec23'!W52)</f>
        <v>0</v>
      </c>
      <c r="X52" s="49">
        <f>IF(O52=" ",'Dec23'!X52,O52+'Dec23'!X52)</f>
        <v>0</v>
      </c>
      <c r="Y52" s="49">
        <f>IF(P52=" ",'Dec23'!Y52,P52+'Dec23'!Y52)</f>
        <v>0</v>
      </c>
      <c r="Z52" s="49">
        <f>IF(Q52=" ",'Dec23'!Z52,Q52+'Dec23'!Z52)</f>
        <v>0</v>
      </c>
      <c r="AA52" s="49">
        <f>IF(R52=" ",'Dec23'!AA52,R52+'Dec23'!AA52)</f>
        <v>0</v>
      </c>
      <c r="AC52" s="49">
        <f>IF(T52=" ",'Dec23'!AC52,T52+'Dec23'!AC52)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IF(T$49="Y",'Dec23'!H53,0)</f>
        <v>0</v>
      </c>
      <c r="I53" s="92">
        <f>IF(T$49="Y",'Dec23'!I53,0)</f>
        <v>0</v>
      </c>
      <c r="J53" s="92">
        <f>IF(T$49="Y",'Dec23'!J53,0)</f>
        <v>0</v>
      </c>
      <c r="K53" s="92">
        <f>IF(T$49="Y",'Dec23'!K53,I53*J53)</f>
        <v>0</v>
      </c>
      <c r="L53" s="111">
        <f>IF(T$49="Y",'Dec23'!L53,0)</f>
        <v>0</v>
      </c>
      <c r="M53" s="100" t="str">
        <f>IF(E53=" "," ",IF(T$49="Y",'Dec23'!M53,IF((H53+K53+L53)&gt;0,H53+K53+L53,"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IF(Employee!H$87=E$49,Employee!D$86+SUM(M53)+'Dec23'!V53,SUM(M53)+'Dec23'!V53)</f>
        <v>0</v>
      </c>
      <c r="W53" s="49">
        <f>IF(Employee!H$87=E$49,Employee!D$87+SUM(N53)+'Dec23'!W53,SUM(N53)+'Dec23'!W53)</f>
        <v>0</v>
      </c>
      <c r="X53" s="49">
        <f>IF(O53=" ",'Dec23'!X53,O53+'Dec23'!X53)</f>
        <v>0</v>
      </c>
      <c r="Y53" s="49">
        <f>IF(P53=" ",'Dec23'!Y53,P53+'Dec23'!Y53)</f>
        <v>0</v>
      </c>
      <c r="Z53" s="49">
        <f>IF(Q53=" ",'Dec23'!Z53,Q53+'Dec23'!Z53)</f>
        <v>0</v>
      </c>
      <c r="AA53" s="49">
        <f>IF(R53=" ",'Dec23'!AA53,R53+'Dec23'!AA53)</f>
        <v>0</v>
      </c>
      <c r="AC53" s="49">
        <f>IF(T53=" ",'Dec23'!AC53,T53+'Dec23'!AC53)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IF(T$49="Y",'Dec23'!H54,0)</f>
        <v>0</v>
      </c>
      <c r="I54" s="92">
        <f>IF(T$49="Y",'Dec23'!I54,0)</f>
        <v>0</v>
      </c>
      <c r="J54" s="92">
        <f>IF(T$49="Y",'Dec23'!J54,0)</f>
        <v>0</v>
      </c>
      <c r="K54" s="92">
        <f>IF(T$49="Y",'Dec23'!K54,I54*J54)</f>
        <v>0</v>
      </c>
      <c r="L54" s="111">
        <f>IF(T$49="Y",'Dec23'!L54,0)</f>
        <v>0</v>
      </c>
      <c r="M54" s="100" t="str">
        <f>IF(E54=" "," ",IF(T$49="Y",'Dec23'!M54,IF((H54+K54+L54)&gt;0,H54+K54+L54,"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IF(Employee!H$113=E$49,Employee!D$112+SUM(M54)+'Dec23'!V54,SUM(M54)+'Dec23'!V54)</f>
        <v>0</v>
      </c>
      <c r="W54" s="49">
        <f>IF(Employee!H$113=E$49,Employee!D$113+SUM(N54)+'Dec23'!W54,SUM(N54)+'Dec23'!W54)</f>
        <v>0</v>
      </c>
      <c r="X54" s="49">
        <f>IF(O54=" ",'Dec23'!X54,O54+'Dec23'!X54)</f>
        <v>0</v>
      </c>
      <c r="Y54" s="49">
        <f>IF(P54=" ",'Dec23'!Y54,P54+'Dec23'!Y54)</f>
        <v>0</v>
      </c>
      <c r="Z54" s="49">
        <f>IF(Q54=" ",'Dec23'!Z54,Q54+'Dec23'!Z54)</f>
        <v>0</v>
      </c>
      <c r="AA54" s="49">
        <f>IF(R54=" ",'Dec23'!AA54,R54+'Dec23'!AA54)</f>
        <v>0</v>
      </c>
      <c r="AC54" s="49">
        <f>IF(T54=" ",'Dec23'!AC54,T54+'Dec23'!AC54)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IF(T$49="Y",'Dec23'!H55,0)</f>
        <v>0</v>
      </c>
      <c r="I55" s="245">
        <f>IF(T$49="Y",'Dec23'!I55,0)</f>
        <v>0</v>
      </c>
      <c r="J55" s="245">
        <f>IF(T$49="Y",'Dec23'!J55,0)</f>
        <v>0</v>
      </c>
      <c r="K55" s="245">
        <f>IF(T$49="Y",'Dec23'!K55,I55*J55)</f>
        <v>0</v>
      </c>
      <c r="L55" s="246">
        <f>IF(T$49="Y",'Dec23'!L55,0)</f>
        <v>0</v>
      </c>
      <c r="M55" s="100" t="str">
        <f>IF(E55=" "," ",IF(T$49="Y",'Dec23'!M55,IF((H55+K55+L55)&gt;0,H55+K55+L55,"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IF(Employee!H$139=E$49,Employee!D$138+SUM(M55)+'Dec23'!V55,SUM(M55)+'Dec23'!V55)</f>
        <v>0</v>
      </c>
      <c r="W55" s="49">
        <f>IF(Employee!H$139=E$49,Employee!D$139+SUM(N55)+'Dec23'!W55,SUM(N55)+'Dec23'!W55)</f>
        <v>0</v>
      </c>
      <c r="X55" s="49">
        <f>IF(O55=" ",'Dec23'!X55,O55+'Dec23'!X55)</f>
        <v>0</v>
      </c>
      <c r="Y55" s="49">
        <f>IF(P55=" ",'Dec23'!Y55,P55+'Dec23'!Y55)</f>
        <v>0</v>
      </c>
      <c r="Z55" s="49">
        <f>IF(Q55=" ",'Dec23'!Z55,Q55+'Dec23'!Z55)</f>
        <v>0</v>
      </c>
      <c r="AA55" s="49">
        <f>IF(R55=" ",'Dec23'!AA55,R55+'Dec23'!AA55)</f>
        <v>0</v>
      </c>
      <c r="AC55" s="49">
        <f>IF(T55=" ",'Dec23'!AC55,T55+'Dec23'!AC55)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AD60+'Dec23'!AD65</f>
        <v>0</v>
      </c>
      <c r="AE65" s="158">
        <f>AE60+'Dec23'!AE65</f>
        <v>0</v>
      </c>
      <c r="AF65" s="158">
        <f>AF60+'Dec23'!AF65</f>
        <v>0</v>
      </c>
      <c r="AG65" s="158">
        <f>AG60+'Dec23'!AG65</f>
        <v>0</v>
      </c>
    </row>
    <row r="66" spans="6:33" ht="14" thickTop="1" x14ac:dyDescent="0.15"/>
    <row r="67" spans="6:33" x14ac:dyDescent="0.15">
      <c r="AD67" s="162"/>
      <c r="AE67" s="158">
        <f>AE62+'Dec23'!AE67</f>
        <v>0</v>
      </c>
      <c r="AF67" s="158">
        <f>AF62+'Dec23'!AF67</f>
        <v>0</v>
      </c>
      <c r="AG67" s="158">
        <f>AG62+'Dec23'!AG67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78" t="s">
        <v>65</v>
      </c>
      <c r="C1" s="479"/>
      <c r="D1" s="479"/>
      <c r="E1" s="479"/>
      <c r="F1" s="480"/>
      <c r="G1" s="445">
        <f>SUM(AD70:AG70)+SUM(AE72:AG72)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81"/>
      <c r="C2" s="482"/>
      <c r="D2" s="482"/>
      <c r="E2" s="482"/>
      <c r="F2" s="483"/>
      <c r="G2" s="445"/>
      <c r="H2" s="446"/>
      <c r="I2" s="450" t="s">
        <v>69</v>
      </c>
      <c r="J2" s="450"/>
      <c r="K2" s="450"/>
      <c r="L2" s="451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44</v>
      </c>
      <c r="F9" s="35"/>
      <c r="G9" s="35"/>
      <c r="H9" s="410" t="s">
        <v>28</v>
      </c>
      <c r="I9" s="408"/>
      <c r="J9" s="409"/>
      <c r="K9" s="204">
        <f>'Jan24'!M39+1</f>
        <v>45320</v>
      </c>
      <c r="L9" s="203" t="s">
        <v>75</v>
      </c>
      <c r="M9" s="205">
        <f>K9+6</f>
        <v>45326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45</v>
      </c>
      <c r="F19" s="35"/>
      <c r="G19" s="35"/>
      <c r="H19" s="410" t="s">
        <v>28</v>
      </c>
      <c r="I19" s="408"/>
      <c r="J19" s="409"/>
      <c r="K19" s="204">
        <f>M9+1</f>
        <v>45327</v>
      </c>
      <c r="L19" s="203" t="s">
        <v>75</v>
      </c>
      <c r="M19" s="205">
        <f>K19+6</f>
        <v>45333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46</v>
      </c>
      <c r="F29" s="35"/>
      <c r="G29" s="35"/>
      <c r="H29" s="410" t="s">
        <v>28</v>
      </c>
      <c r="I29" s="408"/>
      <c r="J29" s="409"/>
      <c r="K29" s="204">
        <f>M19+1</f>
        <v>45334</v>
      </c>
      <c r="L29" s="203" t="s">
        <v>75</v>
      </c>
      <c r="M29" s="205">
        <f>K29+6</f>
        <v>45340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2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324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Bot="1" x14ac:dyDescent="0.2">
      <c r="A38" s="31"/>
      <c r="B38" s="491" t="s">
        <v>23</v>
      </c>
      <c r="C38" s="492"/>
      <c r="D38" s="492"/>
      <c r="E38" s="493"/>
      <c r="F38" s="32"/>
      <c r="G38" s="32"/>
      <c r="H38" s="32"/>
      <c r="I38" s="32"/>
      <c r="J38" s="32"/>
      <c r="K38" s="46"/>
      <c r="L38" s="46"/>
      <c r="M38" s="43"/>
      <c r="N38" s="32"/>
      <c r="O38" s="486" t="s">
        <v>28</v>
      </c>
      <c r="P38" s="487"/>
      <c r="Q38" s="488"/>
      <c r="R38" s="484"/>
      <c r="S38" s="485"/>
      <c r="T38" s="485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47</v>
      </c>
      <c r="F39" s="35"/>
      <c r="G39" s="35"/>
      <c r="H39" s="410" t="s">
        <v>28</v>
      </c>
      <c r="I39" s="464"/>
      <c r="J39" s="465"/>
      <c r="K39" s="204">
        <f>M29+1</f>
        <v>45341</v>
      </c>
      <c r="L39" s="203" t="s">
        <v>75</v>
      </c>
      <c r="M39" s="205">
        <f>K39+6</f>
        <v>45347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350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351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48</v>
      </c>
      <c r="F49" s="35"/>
      <c r="G49" s="35"/>
      <c r="H49" s="410" t="s">
        <v>28</v>
      </c>
      <c r="I49" s="464"/>
      <c r="J49" s="465"/>
      <c r="K49" s="204">
        <f>M39+1</f>
        <v>45348</v>
      </c>
      <c r="L49" s="203" t="s">
        <v>75</v>
      </c>
      <c r="M49" s="205">
        <f>K49+6</f>
        <v>45354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1">IF(T$49="Y",H43,0)</f>
        <v>0</v>
      </c>
      <c r="I53" s="89">
        <f t="shared" ref="I53:I55" si="12">IF(T$49="Y",I43,0)</f>
        <v>0</v>
      </c>
      <c r="J53" s="89">
        <f t="shared" ref="J53:J55" si="13">IF(T$49="Y",J43,0)</f>
        <v>0</v>
      </c>
      <c r="K53" s="89">
        <f t="shared" ref="K53:K55" si="14">IF(T$49="Y",K43,I53*J53)</f>
        <v>0</v>
      </c>
      <c r="L53" s="89">
        <f t="shared" ref="L53:L55" si="15">IF(T$49="Y",L43,0)</f>
        <v>0</v>
      </c>
      <c r="M53" s="99" t="str">
        <f t="shared" ref="M53:M55" si="16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1"/>
        <v>0</v>
      </c>
      <c r="I54" s="92">
        <f t="shared" si="12"/>
        <v>0</v>
      </c>
      <c r="J54" s="92">
        <f t="shared" si="13"/>
        <v>0</v>
      </c>
      <c r="K54" s="92">
        <f t="shared" si="14"/>
        <v>0</v>
      </c>
      <c r="L54" s="92">
        <f t="shared" si="15"/>
        <v>0</v>
      </c>
      <c r="M54" s="100" t="str">
        <f t="shared" si="16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1"/>
        <v>0</v>
      </c>
      <c r="I55" s="89">
        <f t="shared" si="12"/>
        <v>0</v>
      </c>
      <c r="J55" s="89">
        <f t="shared" si="13"/>
        <v>0</v>
      </c>
      <c r="K55" s="89">
        <f t="shared" si="14"/>
        <v>0</v>
      </c>
      <c r="L55" s="89">
        <f t="shared" si="15"/>
        <v>0</v>
      </c>
      <c r="M55" s="99" t="str">
        <f t="shared" si="16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352"/>
      <c r="C56" s="353"/>
      <c r="D56" s="353"/>
      <c r="E56" s="354"/>
      <c r="F56" s="489" t="s">
        <v>7</v>
      </c>
      <c r="G56" s="496"/>
      <c r="H56" s="355"/>
      <c r="I56" s="356"/>
      <c r="J56" s="356"/>
      <c r="K56" s="357"/>
      <c r="L56" s="357"/>
      <c r="M56" s="358">
        <f t="shared" ref="M56:R56" si="17">SUM(M51:M55)</f>
        <v>0</v>
      </c>
      <c r="N56" s="358">
        <f t="shared" si="17"/>
        <v>0</v>
      </c>
      <c r="O56" s="358">
        <f t="shared" si="17"/>
        <v>0</v>
      </c>
      <c r="P56" s="358">
        <f t="shared" si="17"/>
        <v>0</v>
      </c>
      <c r="Q56" s="358">
        <f t="shared" si="17"/>
        <v>0</v>
      </c>
      <c r="R56" s="358">
        <f t="shared" si="17"/>
        <v>0</v>
      </c>
      <c r="S56" s="359"/>
      <c r="T56" s="358">
        <f>SUM(T51:T55)</f>
        <v>0</v>
      </c>
      <c r="U56" s="40"/>
      <c r="V56" s="49"/>
      <c r="AH56" s="35"/>
    </row>
    <row r="57" spans="1:34" s="348" customFormat="1" ht="18" customHeight="1" thickBot="1" x14ac:dyDescent="0.2"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9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Bot="1" x14ac:dyDescent="0.2">
      <c r="A58" s="31"/>
      <c r="B58" s="491" t="s">
        <v>24</v>
      </c>
      <c r="C58" s="494"/>
      <c r="D58" s="494"/>
      <c r="E58" s="495"/>
      <c r="F58" s="32"/>
      <c r="G58" s="32"/>
      <c r="H58" s="43"/>
      <c r="I58" s="43"/>
      <c r="J58" s="43"/>
      <c r="K58" s="46"/>
      <c r="L58" s="46"/>
      <c r="M58" s="43"/>
      <c r="N58" s="32"/>
      <c r="O58" s="486" t="s">
        <v>28</v>
      </c>
      <c r="P58" s="487"/>
      <c r="Q58" s="488"/>
      <c r="R58" s="484"/>
      <c r="S58" s="485"/>
      <c r="T58" s="485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11</v>
      </c>
      <c r="F59" s="35"/>
      <c r="G59" s="35"/>
      <c r="H59" s="410" t="s">
        <v>28</v>
      </c>
      <c r="I59" s="408"/>
      <c r="J59" s="409"/>
      <c r="K59" s="204">
        <f>Admin!B303</f>
        <v>45323</v>
      </c>
      <c r="L59" s="203" t="s">
        <v>75</v>
      </c>
      <c r="M59" s="205">
        <f>Admin!B330</f>
        <v>45350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IF(T$59="Y",'Jan24'!H51,0)</f>
        <v>0</v>
      </c>
      <c r="I61" s="89">
        <f>IF(T$59="Y",'Jan24'!I51,0)</f>
        <v>0</v>
      </c>
      <c r="J61" s="89">
        <f>IF(T$59="Y",'Jan24'!J51,0)</f>
        <v>0</v>
      </c>
      <c r="K61" s="89">
        <f>IF(T$59="Y",'Jan24'!K51,I61*J61)</f>
        <v>0</v>
      </c>
      <c r="L61" s="110">
        <f>IF(T$59="Y",'Jan24'!L51,0)</f>
        <v>0</v>
      </c>
      <c r="M61" s="99" t="str">
        <f>IF(E61=" "," ",IF(T$59="Y",'Jan24'!M51,IF((H61+K61+L61)&gt;0,H61+K61+L61,"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IF(Employee!H$35=E$59,Employee!D$34+SUM(M61)+'Jan24'!V51,SUM(M61)+'Jan24'!V51)</f>
        <v>0</v>
      </c>
      <c r="W61" s="49">
        <f>IF(Employee!H$35=E$59,Employee!D$35+SUM(N61)+'Jan24'!W51,SUM(N61)+'Jan24'!W51)</f>
        <v>0</v>
      </c>
      <c r="X61" s="49">
        <f>IF(O61=" ",'Jan24'!X51,O61+'Jan24'!X51)</f>
        <v>0</v>
      </c>
      <c r="Y61" s="49">
        <f>IF(P61=" ",'Jan24'!Y51,P61+'Jan24'!Y51)</f>
        <v>0</v>
      </c>
      <c r="Z61" s="49">
        <f>IF(Q61=" ",'Jan24'!Z51,Q61+'Jan24'!Z51)</f>
        <v>0</v>
      </c>
      <c r="AA61" s="49">
        <f>IF(R61=" ",'Jan24'!AA51,R61+'Jan24'!AA51)</f>
        <v>0</v>
      </c>
      <c r="AC61" s="49">
        <f>IF(T61=" ",'Jan24'!AC51,T61+'Jan24'!AC51)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IF(T$59="Y",'Jan24'!H52,0)</f>
        <v>0</v>
      </c>
      <c r="I62" s="92">
        <f>IF(T$59="Y",'Jan24'!I52,0)</f>
        <v>0</v>
      </c>
      <c r="J62" s="92">
        <f>IF(T$59="Y",'Jan24'!J52,0)</f>
        <v>0</v>
      </c>
      <c r="K62" s="92">
        <f>IF(T$59="Y",'Jan24'!K52,I62*J62)</f>
        <v>0</v>
      </c>
      <c r="L62" s="111">
        <f>IF(T$59="Y",'Jan24'!L52,0)</f>
        <v>0</v>
      </c>
      <c r="M62" s="100" t="str">
        <f>IF(E62=" "," ",IF(T$59="Y",'Jan24'!M52,IF((H62+K62+L62)&gt;0,H62+K62+L62,"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IF(Employee!H$61=E$59,Employee!D$60+SUM(M62)+'Jan24'!V52,SUM(M62)+'Jan24'!V52)</f>
        <v>0</v>
      </c>
      <c r="W62" s="49">
        <f>IF(Employee!H$61=E$59,Employee!D$61+SUM(N62)+'Jan24'!W52,SUM(N62)+'Jan24'!W52)</f>
        <v>0</v>
      </c>
      <c r="X62" s="49">
        <f>IF(O62=" ",'Jan24'!X52,O62+'Jan24'!X52)</f>
        <v>0</v>
      </c>
      <c r="Y62" s="49">
        <f>IF(P62=" ",'Jan24'!Y52,P62+'Jan24'!Y52)</f>
        <v>0</v>
      </c>
      <c r="Z62" s="49">
        <f>IF(Q62=" ",'Jan24'!Z52,Q62+'Jan24'!Z52)</f>
        <v>0</v>
      </c>
      <c r="AA62" s="49">
        <f>IF(R62=" ",'Jan24'!AA52,R62+'Jan24'!AA52)</f>
        <v>0</v>
      </c>
      <c r="AC62" s="49">
        <f>IF(T62=" ",'Jan24'!AC52,T62+'Jan24'!AC52)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IF(T$59="Y",'Jan24'!H53,0)</f>
        <v>0</v>
      </c>
      <c r="I63" s="92">
        <f>IF(T$59="Y",'Jan24'!I53,0)</f>
        <v>0</v>
      </c>
      <c r="J63" s="92">
        <f>IF(T$59="Y",'Jan24'!J53,0)</f>
        <v>0</v>
      </c>
      <c r="K63" s="92">
        <f>IF(T$59="Y",'Jan24'!K53,I63*J63)</f>
        <v>0</v>
      </c>
      <c r="L63" s="111">
        <f>IF(T$59="Y",'Jan24'!L53,0)</f>
        <v>0</v>
      </c>
      <c r="M63" s="100" t="str">
        <f>IF(E63=" "," ",IF(T$59="Y",'Jan24'!M53,IF((H63+K63+L63)&gt;0,H63+K63+L63,"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IF(Employee!H$87=E$59,Employee!D$86+SUM(M63)+'Jan24'!V53,SUM(M63)+'Jan24'!V53)</f>
        <v>0</v>
      </c>
      <c r="W63" s="49">
        <f>IF(Employee!H$87=E$59,Employee!D$87+SUM(N63)+'Jan24'!W53,SUM(N63)+'Jan24'!W53)</f>
        <v>0</v>
      </c>
      <c r="X63" s="49">
        <f>IF(O63=" ",'Jan24'!X53,O63+'Jan24'!X53)</f>
        <v>0</v>
      </c>
      <c r="Y63" s="49">
        <f>IF(P63=" ",'Jan24'!Y53,P63+'Jan24'!Y53)</f>
        <v>0</v>
      </c>
      <c r="Z63" s="49">
        <f>IF(Q63=" ",'Jan24'!Z53,Q63+'Jan24'!Z53)</f>
        <v>0</v>
      </c>
      <c r="AA63" s="49">
        <f>IF(R63=" ",'Jan24'!AA53,R63+'Jan24'!AA53)</f>
        <v>0</v>
      </c>
      <c r="AC63" s="49">
        <f>IF(T63=" ",'Jan24'!AC53,T63+'Jan24'!AC53)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IF(T$59="Y",'Jan24'!H54,0)</f>
        <v>0</v>
      </c>
      <c r="I64" s="92">
        <f>IF(T$59="Y",'Jan24'!I54,0)</f>
        <v>0</v>
      </c>
      <c r="J64" s="92">
        <f>IF(T$59="Y",'Jan24'!J54,0)</f>
        <v>0</v>
      </c>
      <c r="K64" s="92">
        <f>IF(T$59="Y",'Jan24'!K54,I64*J64)</f>
        <v>0</v>
      </c>
      <c r="L64" s="111">
        <f>IF(T$59="Y",'Jan24'!L54,0)</f>
        <v>0</v>
      </c>
      <c r="M64" s="100" t="str">
        <f>IF(E64=" "," ",IF(T$59="Y",'Jan24'!M54,IF((H64+K64+L64)&gt;0,H64+K64+L64,"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IF(Employee!H$113=E$59,Employee!D$112+SUM(M64)+'Jan24'!V54,SUM(M64)+'Jan24'!V54)</f>
        <v>0</v>
      </c>
      <c r="W64" s="49">
        <f>IF(Employee!H$113=E$59,Employee!D$113+SUM(N64)+'Jan24'!W54,SUM(N64)+'Jan24'!W54)</f>
        <v>0</v>
      </c>
      <c r="X64" s="49">
        <f>IF(O64=" ",'Jan24'!X54,O64+'Jan24'!X54)</f>
        <v>0</v>
      </c>
      <c r="Y64" s="49">
        <f>IF(P64=" ",'Jan24'!Y54,P64+'Jan24'!Y54)</f>
        <v>0</v>
      </c>
      <c r="Z64" s="49">
        <f>IF(Q64=" ",'Jan24'!Z54,Q64+'Jan24'!Z54)</f>
        <v>0</v>
      </c>
      <c r="AA64" s="49">
        <f>IF(R64=" ",'Jan24'!AA54,R64+'Jan24'!AA54)</f>
        <v>0</v>
      </c>
      <c r="AC64" s="49">
        <f>IF(T64=" ",'Jan24'!AC54,T64+'Jan24'!AC54)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IF(T$59="Y",'Jan24'!H55,0)</f>
        <v>0</v>
      </c>
      <c r="I65" s="245">
        <f>IF(T$59="Y",'Jan24'!I55,0)</f>
        <v>0</v>
      </c>
      <c r="J65" s="245">
        <f>IF(T$59="Y",'Jan24'!J55,0)</f>
        <v>0</v>
      </c>
      <c r="K65" s="245">
        <f>IF(T$59="Y",'Jan24'!K55,I65*J65)</f>
        <v>0</v>
      </c>
      <c r="L65" s="246">
        <f>IF(T$59="Y",'Jan24'!L55,0)</f>
        <v>0</v>
      </c>
      <c r="M65" s="100" t="str">
        <f>IF(E65=" "," ",IF(T$59="Y",'Jan24'!M55,IF((H65+K65+L65)&gt;0,H65+K65+L65,"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IF(Employee!H$139=E$59,Employee!D$138+SUM(M65)+'Jan24'!V55,SUM(M65)+'Jan24'!V55)</f>
        <v>0</v>
      </c>
      <c r="W65" s="49">
        <f>IF(Employee!H$139=E$59,Employee!D$139+SUM(N65)+'Jan24'!W55,SUM(N65)+'Jan24'!W55)</f>
        <v>0</v>
      </c>
      <c r="X65" s="49">
        <f>IF(O65=" ",'Jan24'!X55,O65+'Jan24'!X55)</f>
        <v>0</v>
      </c>
      <c r="Y65" s="49">
        <f>IF(P65=" ",'Jan24'!Y55,P65+'Jan24'!Y55)</f>
        <v>0</v>
      </c>
      <c r="Z65" s="49">
        <f>IF(Q65=" ",'Jan24'!Z55,Q65+'Jan24'!Z55)</f>
        <v>0</v>
      </c>
      <c r="AA65" s="49">
        <f>IF(R65=" ",'Jan24'!AA55,R65+'Jan24'!AA55)</f>
        <v>0</v>
      </c>
      <c r="AC65" s="49">
        <f>IF(T65=" ",'Jan24'!AC55,T65+'Jan24'!AC55)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352"/>
      <c r="C66" s="353"/>
      <c r="D66" s="353"/>
      <c r="E66" s="354"/>
      <c r="F66" s="489" t="s">
        <v>7</v>
      </c>
      <c r="G66" s="490"/>
      <c r="H66" s="360"/>
      <c r="I66" s="359"/>
      <c r="J66" s="359"/>
      <c r="K66" s="361"/>
      <c r="L66" s="361"/>
      <c r="M66" s="358">
        <f t="shared" ref="M66:R66" si="18">SUM(M61:M65)</f>
        <v>0</v>
      </c>
      <c r="N66" s="358">
        <f t="shared" si="18"/>
        <v>0</v>
      </c>
      <c r="O66" s="358">
        <f t="shared" si="18"/>
        <v>0</v>
      </c>
      <c r="P66" s="358">
        <f t="shared" si="18"/>
        <v>0</v>
      </c>
      <c r="Q66" s="358">
        <f t="shared" si="18"/>
        <v>0</v>
      </c>
      <c r="R66" s="358">
        <f t="shared" si="18"/>
        <v>0</v>
      </c>
      <c r="S66" s="359"/>
      <c r="T66" s="358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9">SUM(M70:M74)</f>
        <v>0</v>
      </c>
      <c r="N75" s="184">
        <f t="shared" si="19"/>
        <v>0</v>
      </c>
      <c r="O75" s="184">
        <f t="shared" si="19"/>
        <v>0</v>
      </c>
      <c r="P75" s="184">
        <f t="shared" si="19"/>
        <v>0</v>
      </c>
      <c r="Q75" s="184">
        <f t="shared" si="19"/>
        <v>0</v>
      </c>
      <c r="R75" s="184">
        <f t="shared" si="19"/>
        <v>0</v>
      </c>
      <c r="S75" s="188"/>
      <c r="T75" s="184">
        <f>SUM(T70:T74)</f>
        <v>0</v>
      </c>
      <c r="AD75" s="158">
        <f>AD70+'Jan24'!AD65</f>
        <v>0</v>
      </c>
      <c r="AE75" s="158">
        <f>AE70+'Jan24'!AE65</f>
        <v>0</v>
      </c>
      <c r="AF75" s="158">
        <f>AF70+'Jan24'!AF65</f>
        <v>0</v>
      </c>
      <c r="AG75" s="158">
        <f>AG70+'Jan24'!AG65</f>
        <v>0</v>
      </c>
    </row>
    <row r="76" spans="1:34" ht="14" thickTop="1" x14ac:dyDescent="0.15"/>
    <row r="77" spans="1:34" x14ac:dyDescent="0.15">
      <c r="AD77" s="162"/>
      <c r="AE77" s="158">
        <f>AE72+'Jan24'!AE67</f>
        <v>0</v>
      </c>
      <c r="AF77" s="158">
        <f>AF72+'Jan24'!AF67</f>
        <v>0</v>
      </c>
      <c r="AG77" s="158">
        <f>AG72+'Jan24'!AG67</f>
        <v>0</v>
      </c>
    </row>
  </sheetData>
  <mergeCells count="86"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6:G66"/>
    <mergeCell ref="B37:T37"/>
    <mergeCell ref="B38:E38"/>
    <mergeCell ref="B39:D39"/>
    <mergeCell ref="H39:J39"/>
    <mergeCell ref="O39:R39"/>
    <mergeCell ref="F46:G46"/>
    <mergeCell ref="B47:T47"/>
    <mergeCell ref="B58:E58"/>
    <mergeCell ref="B59:D59"/>
    <mergeCell ref="H59:J59"/>
    <mergeCell ref="O59:R59"/>
    <mergeCell ref="O58:Q58"/>
    <mergeCell ref="B48:E48"/>
    <mergeCell ref="O48:Q48"/>
    <mergeCell ref="R48:T48"/>
    <mergeCell ref="AD1:AG2"/>
    <mergeCell ref="AD3:AD6"/>
    <mergeCell ref="AE3:AE6"/>
    <mergeCell ref="AF3:AF6"/>
    <mergeCell ref="AG3:AG6"/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</mergeCells>
  <phoneticPr fontId="6" type="noConversion"/>
  <dataValidations count="1">
    <dataValidation type="list" allowBlank="1" showInputMessage="1" showErrorMessage="1" sqref="G61:G65 G31:G35 G11:G15 G21:G25 G41:G45 G51:G5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6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SUM(AD70:AG70)+SUM(AE72:AG72)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 t="e">
        <f>#REF!</f>
        <v>#REF!</v>
      </c>
      <c r="T2" s="178">
        <f>T75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49</v>
      </c>
      <c r="F9" s="35"/>
      <c r="G9" s="35"/>
      <c r="H9" s="410" t="s">
        <v>28</v>
      </c>
      <c r="I9" s="408"/>
      <c r="J9" s="409"/>
      <c r="K9" s="204">
        <f>Admin!B335</f>
        <v>45355</v>
      </c>
      <c r="L9" s="203" t="s">
        <v>75</v>
      </c>
      <c r="M9" s="205">
        <f>K9+6</f>
        <v>45361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IF(T$9="Y",'Feb24'!H51,0)</f>
        <v>0</v>
      </c>
      <c r="I11" s="89">
        <f>IF(T$9="Y",'Feb24'!I51,0)</f>
        <v>0</v>
      </c>
      <c r="J11" s="89">
        <f>IF(T$9="Y",'Feb24'!J51,0)</f>
        <v>0</v>
      </c>
      <c r="K11" s="89">
        <f>IF(T$9="Y",'Feb24'!K51,I11*J11)</f>
        <v>0</v>
      </c>
      <c r="L11" s="110">
        <f>IF(T$9="Y",'Feb24'!L51,0)</f>
        <v>0</v>
      </c>
      <c r="M11" s="110" t="str">
        <f>IF(E11=" "," ",IF(T$9="Y",'Feb24'!M51,IF((H11+K11+L11)&gt;0,H11+K11+L11,"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IF(Employee!H$34=E$9,Employee!D$34+SUM(M11)+'Feb24'!V51,SUM(M11)+'Feb24'!V51)</f>
        <v>0</v>
      </c>
      <c r="W11" s="49">
        <f>IF(Employee!H$34=E$9,Employee!D$35+SUM(N11)+'Feb24'!W51,SUM(N11)+'Feb24'!W51)</f>
        <v>0</v>
      </c>
      <c r="X11" s="49">
        <f>IF(O11=" ",'Feb24'!X51,O11+'Feb24'!X51)</f>
        <v>0</v>
      </c>
      <c r="Y11" s="49">
        <f>IF(P11=" ",'Feb24'!Y51,P11+'Feb24'!Y51)</f>
        <v>0</v>
      </c>
      <c r="Z11" s="49">
        <f>IF(Q11=" ",'Feb24'!Z51,Q11+'Feb24'!Z51)</f>
        <v>0</v>
      </c>
      <c r="AA11" s="49">
        <f>IF(R11=" ",'Feb24'!AA51,R11+'Feb24'!AA51)</f>
        <v>0</v>
      </c>
      <c r="AC11" s="49">
        <f>IF(T11=" ",'Feb24'!AC51,T11+'Feb24'!AC51)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IF(T$9="Y",'Feb24'!H52,0)</f>
        <v>0</v>
      </c>
      <c r="I12" s="92">
        <f>IF(T$9="Y",'Feb24'!I52,0)</f>
        <v>0</v>
      </c>
      <c r="J12" s="92">
        <f>IF(T$9="Y",'Feb24'!J52,0)</f>
        <v>0</v>
      </c>
      <c r="K12" s="92">
        <f>IF(T$9="Y",'Feb24'!K52,I12*J12)</f>
        <v>0</v>
      </c>
      <c r="L12" s="111">
        <f>IF(T$9="Y",'Feb24'!L52,0)</f>
        <v>0</v>
      </c>
      <c r="M12" s="111" t="str">
        <f>IF(E12=" "," ",IF(T$9="Y",'Feb24'!M52,IF((H12+K12+L12)&gt;0,H12+K12+L12,"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IF(Employee!H$60=E$9,Employee!D$60+SUM(M12)+'Feb24'!V52,SUM(M12)+'Feb24'!V52)</f>
        <v>0</v>
      </c>
      <c r="W12" s="49">
        <f>IF(Employee!H$60=E$9,Employee!D$61+SUM(N12)+'Feb24'!W52,SUM(N12)+'Feb24'!W52)</f>
        <v>0</v>
      </c>
      <c r="X12" s="49">
        <f>IF(O12=" ",'Feb24'!X52,O12+'Feb24'!X52)</f>
        <v>0</v>
      </c>
      <c r="Y12" s="49">
        <f>IF(P12=" ",'Feb24'!Y52,P12+'Feb24'!Y52)</f>
        <v>0</v>
      </c>
      <c r="Z12" s="49">
        <f>IF(Q12=" ",'Feb24'!Z52,Q12+'Feb24'!Z52)</f>
        <v>0</v>
      </c>
      <c r="AA12" s="49">
        <f>IF(R12=" ",'Feb24'!AA52,R12+'Feb24'!AA52)</f>
        <v>0</v>
      </c>
      <c r="AC12" s="49">
        <f>IF(T12=" ",'Feb24'!AC52,T12+'Feb24'!AC52)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IF(T$9="Y",'Feb24'!H53,0)</f>
        <v>0</v>
      </c>
      <c r="I13" s="89">
        <f>IF(T$9="Y",'Feb24'!I53,0)</f>
        <v>0</v>
      </c>
      <c r="J13" s="89">
        <f>IF(T$9="Y",'Feb24'!J53,0)</f>
        <v>0</v>
      </c>
      <c r="K13" s="89">
        <f>IF(T$9="Y",'Feb24'!K53,I13*J13)</f>
        <v>0</v>
      </c>
      <c r="L13" s="110">
        <f>IF(T$9="Y",'Feb24'!L53,0)</f>
        <v>0</v>
      </c>
      <c r="M13" s="110" t="str">
        <f>IF(E13=" "," ",IF(T$9="Y",'Feb24'!M53,IF((H13+K13+L13)&gt;0,H13+K13+L13,"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IF(Employee!H$86=E$9,Employee!D$86+SUM(M13)+'Feb24'!V53,SUM(M13)+'Feb24'!V53)</f>
        <v>0</v>
      </c>
      <c r="W13" s="49">
        <f>IF(Employee!H$86=E$9,Employee!D$87+SUM(N13)+'Feb24'!W53,SUM(N13)+'Feb24'!W53)</f>
        <v>0</v>
      </c>
      <c r="X13" s="49">
        <f>IF(O13=" ",'Feb24'!X53,O13+'Feb24'!X53)</f>
        <v>0</v>
      </c>
      <c r="Y13" s="49">
        <f>IF(P13=" ",'Feb24'!Y53,P13+'Feb24'!Y53)</f>
        <v>0</v>
      </c>
      <c r="Z13" s="49">
        <f>IF(Q13=" ",'Feb24'!Z53,Q13+'Feb24'!Z53)</f>
        <v>0</v>
      </c>
      <c r="AA13" s="49">
        <f>IF(R13=" ",'Feb24'!AA53,R13+'Feb24'!AA53)</f>
        <v>0</v>
      </c>
      <c r="AC13" s="49">
        <f>IF(T13=" ",'Feb24'!AC53,T13+'Feb24'!AC53)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IF(T$9="Y",'Feb24'!H54,0)</f>
        <v>0</v>
      </c>
      <c r="I14" s="92">
        <f>IF(T$9="Y",'Feb24'!I54,0)</f>
        <v>0</v>
      </c>
      <c r="J14" s="92">
        <f>IF(T$9="Y",'Feb24'!J54,0)</f>
        <v>0</v>
      </c>
      <c r="K14" s="92">
        <f>IF(T$9="Y",'Feb24'!K54,I14*J14)</f>
        <v>0</v>
      </c>
      <c r="L14" s="111">
        <f>IF(T$9="Y",'Feb24'!L54,0)</f>
        <v>0</v>
      </c>
      <c r="M14" s="111" t="str">
        <f>IF(E14=" "," ",IF(T$9="Y",'Feb24'!M54,IF((H14+K14+L14)&gt;0,H14+K14+L14,"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IF(Employee!H$112=E$9,Employee!D$112+SUM(M14)+'Feb24'!V54,SUM(M14)+'Feb24'!V54)</f>
        <v>0</v>
      </c>
      <c r="W14" s="49">
        <f>IF(Employee!H$112=E$9,Employee!D$113+SUM(N14)+'Feb24'!W54,SUM(N14)+'Feb24'!W54)</f>
        <v>0</v>
      </c>
      <c r="X14" s="49">
        <f>IF(O14=" ",'Feb24'!X54,O14+'Feb24'!X54)</f>
        <v>0</v>
      </c>
      <c r="Y14" s="49">
        <f>IF(P14=" ",'Feb24'!Y54,P14+'Feb24'!Y54)</f>
        <v>0</v>
      </c>
      <c r="Z14" s="49">
        <f>IF(Q14=" ",'Feb24'!Z54,Q14+'Feb24'!Z54)</f>
        <v>0</v>
      </c>
      <c r="AA14" s="49">
        <f>IF(R14=" ",'Feb24'!AA54,R14+'Feb24'!AA54)</f>
        <v>0</v>
      </c>
      <c r="AC14" s="49">
        <f>IF(T14=" ",'Feb24'!AC54,T14+'Feb24'!AC54)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IF(T$9="Y",'Feb24'!H55,0)</f>
        <v>0</v>
      </c>
      <c r="I15" s="89">
        <f>IF(T$9="Y",'Feb24'!I55,0)</f>
        <v>0</v>
      </c>
      <c r="J15" s="89">
        <f>IF(T$9="Y",'Feb24'!J55,0)</f>
        <v>0</v>
      </c>
      <c r="K15" s="89">
        <f>IF(T$9="Y",'Feb24'!K55,I15*J15)</f>
        <v>0</v>
      </c>
      <c r="L15" s="110">
        <f>IF(T$9="Y",'Feb24'!L55,0)</f>
        <v>0</v>
      </c>
      <c r="M15" s="110" t="str">
        <f>IF(E15=" "," ",IF(T$9="Y",'Feb24'!M55,IF((H15+K15+L15)&gt;0,H15+K15+L15,"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IF(Employee!H$138=E$9,Employee!D$138+SUM(M15)+'Feb24'!V55,SUM(M15)+'Feb24'!V55)</f>
        <v>0</v>
      </c>
      <c r="W15" s="49">
        <f>IF(Employee!H$138=E$9,Employee!D$139+SUM(N15)+'Feb24'!W55,SUM(N15)+'Feb24'!W55)</f>
        <v>0</v>
      </c>
      <c r="X15" s="49">
        <f>IF(O15=" ",'Feb24'!X55,O15+'Feb24'!X55)</f>
        <v>0</v>
      </c>
      <c r="Y15" s="49">
        <f>IF(P15=" ",'Feb24'!Y55,P15+'Feb24'!Y55)</f>
        <v>0</v>
      </c>
      <c r="Z15" s="49">
        <f>IF(Q15=" ",'Feb24'!Z55,Q15+'Feb24'!Z55)</f>
        <v>0</v>
      </c>
      <c r="AA15" s="49">
        <f>IF(R15=" ",'Feb24'!AA55,R15+'Feb24'!AA55)</f>
        <v>0</v>
      </c>
      <c r="AC15" s="49">
        <f>IF(T15=" ",'Feb24'!AC55,T15+'Feb24'!AC55)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50</v>
      </c>
      <c r="F19" s="35"/>
      <c r="G19" s="35"/>
      <c r="H19" s="410" t="s">
        <v>28</v>
      </c>
      <c r="I19" s="408"/>
      <c r="J19" s="409"/>
      <c r="K19" s="204">
        <f>M9+1</f>
        <v>45362</v>
      </c>
      <c r="L19" s="203" t="s">
        <v>75</v>
      </c>
      <c r="M19" s="205">
        <f>K19+6</f>
        <v>45368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51</v>
      </c>
      <c r="F29" s="35"/>
      <c r="G29" s="35"/>
      <c r="H29" s="410" t="s">
        <v>28</v>
      </c>
      <c r="I29" s="408"/>
      <c r="J29" s="409"/>
      <c r="K29" s="204">
        <f>M19+1</f>
        <v>45369</v>
      </c>
      <c r="L29" s="203" t="s">
        <v>75</v>
      </c>
      <c r="M29" s="205">
        <f>K29+6</f>
        <v>45375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52</v>
      </c>
      <c r="F39" s="35"/>
      <c r="G39" s="35"/>
      <c r="H39" s="410" t="s">
        <v>28</v>
      </c>
      <c r="I39" s="464"/>
      <c r="J39" s="465"/>
      <c r="K39" s="204">
        <f>M29+1</f>
        <v>45376</v>
      </c>
      <c r="L39" s="203" t="s">
        <v>75</v>
      </c>
      <c r="M39" s="205">
        <f>K39+6</f>
        <v>45382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53</v>
      </c>
      <c r="F49" s="35"/>
      <c r="G49" s="35"/>
      <c r="H49" s="410" t="s">
        <v>28</v>
      </c>
      <c r="I49" s="464"/>
      <c r="J49" s="465"/>
      <c r="K49" s="204">
        <f>M39+1</f>
        <v>45383</v>
      </c>
      <c r="L49" s="203" t="s">
        <v>75</v>
      </c>
      <c r="M49" s="205">
        <f>K49+6</f>
        <v>45389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12</v>
      </c>
      <c r="F59" s="35"/>
      <c r="G59" s="35"/>
      <c r="H59" s="410" t="s">
        <v>28</v>
      </c>
      <c r="I59" s="408"/>
      <c r="J59" s="409"/>
      <c r="K59" s="204">
        <f>Admin!B331</f>
        <v>45351</v>
      </c>
      <c r="L59" s="203" t="s">
        <v>75</v>
      </c>
      <c r="M59" s="205">
        <f>Admin!B361</f>
        <v>45381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IF(T$59="Y",'Feb24'!H61,0)</f>
        <v>0</v>
      </c>
      <c r="I61" s="89">
        <f>IF(T$59="Y",'Feb24'!I61,0)</f>
        <v>0</v>
      </c>
      <c r="J61" s="89">
        <f>IF(T$59="Y",'Feb24'!J61,0)</f>
        <v>0</v>
      </c>
      <c r="K61" s="89">
        <f>IF(T$59="Y",'Feb24'!K61,I61*J61)</f>
        <v>0</v>
      </c>
      <c r="L61" s="110">
        <f>IF(T$59="Y",'Feb24'!L61,0)</f>
        <v>0</v>
      </c>
      <c r="M61" s="99" t="str">
        <f>IF(E61=" "," ",IF(T$59="Y",'Feb24'!M61,IF((H61+K61+L61)&gt;0,H61+K61+L61,"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IF(Employee!H$35=E$59,Employee!D$34+SUM(M61)+'Feb24'!V61,SUM(M61)+'Feb24'!V61)</f>
        <v>0</v>
      </c>
      <c r="W61" s="49">
        <f>IF(Employee!H$35=E$59,Employee!D$35+SUM(N61)+'Feb24'!W61,SUM(N61)+'Feb24'!W61)</f>
        <v>0</v>
      </c>
      <c r="X61" s="49">
        <f>IF(O61=" ",'Feb24'!X61,O61+'Feb24'!X61)</f>
        <v>0</v>
      </c>
      <c r="Y61" s="49">
        <f>IF(P61=" ",'Feb24'!Y61,P61+'Feb24'!Y61)</f>
        <v>0</v>
      </c>
      <c r="Z61" s="49">
        <f>IF(Q61=" ",'Feb24'!Z61,Q61+'Feb24'!Z61)</f>
        <v>0</v>
      </c>
      <c r="AA61" s="49">
        <f>IF(R61=" ",'Feb24'!AA61,R61+'Feb24'!AA61)</f>
        <v>0</v>
      </c>
      <c r="AC61" s="49">
        <f>IF(T61=" ",'Feb24'!AC61,T61+'Feb24'!AC61)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IF(T$59="Y",'Feb24'!H62,0)</f>
        <v>0</v>
      </c>
      <c r="I62" s="92">
        <f>IF(T$59="Y",'Feb24'!I62,0)</f>
        <v>0</v>
      </c>
      <c r="J62" s="92">
        <f>IF(T$59="Y",'Feb24'!J62,0)</f>
        <v>0</v>
      </c>
      <c r="K62" s="92">
        <f>IF(T$59="Y",'Feb24'!K62,I62*J62)</f>
        <v>0</v>
      </c>
      <c r="L62" s="111">
        <f>IF(T$59="Y",'Feb24'!L62,0)</f>
        <v>0</v>
      </c>
      <c r="M62" s="100" t="str">
        <f>IF(E62=" "," ",IF(T$59="Y",'Feb24'!M62,IF((H62+K62+L62)&gt;0,H62+K62+L62,"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IF(Employee!H$61=E$59,Employee!D$60+SUM(M62)+'Feb24'!V62,SUM(M62)+'Feb24'!V62)</f>
        <v>0</v>
      </c>
      <c r="W62" s="49">
        <f>IF(Employee!H$61=E$59,Employee!D$61+SUM(N62)+'Feb24'!W62,SUM(N62)+'Feb24'!W62)</f>
        <v>0</v>
      </c>
      <c r="X62" s="49">
        <f>IF(O62=" ",'Feb24'!X62,O62+'Feb24'!X62)</f>
        <v>0</v>
      </c>
      <c r="Y62" s="49">
        <f>IF(P62=" ",'Feb24'!Y62,P62+'Feb24'!Y62)</f>
        <v>0</v>
      </c>
      <c r="Z62" s="49">
        <f>IF(Q62=" ",'Feb24'!Z62,Q62+'Feb24'!Z62)</f>
        <v>0</v>
      </c>
      <c r="AA62" s="49">
        <f>IF(R62=" ",'Feb24'!AA62,R62+'Feb24'!AA62)</f>
        <v>0</v>
      </c>
      <c r="AC62" s="49">
        <f>IF(T62=" ",'Feb24'!AC62,T62+'Feb24'!AC62)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IF(T$59="Y",'Feb24'!H63,0)</f>
        <v>0</v>
      </c>
      <c r="I63" s="92">
        <f>IF(T$59="Y",'Feb24'!I63,0)</f>
        <v>0</v>
      </c>
      <c r="J63" s="92">
        <f>IF(T$59="Y",'Feb24'!J63,0)</f>
        <v>0</v>
      </c>
      <c r="K63" s="92">
        <f>IF(T$59="Y",'Feb24'!K63,I63*J63)</f>
        <v>0</v>
      </c>
      <c r="L63" s="111">
        <f>IF(T$59="Y",'Feb24'!L63,0)</f>
        <v>0</v>
      </c>
      <c r="M63" s="100" t="str">
        <f>IF(E63=" "," ",IF(T$59="Y",'Feb24'!M63,IF((H63+K63+L63)&gt;0,H63+K63+L63,"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IF(Employee!H$87=E$59,Employee!D$86+SUM(M63)+'Feb24'!V63,SUM(M63)+'Feb24'!V63)</f>
        <v>0</v>
      </c>
      <c r="W63" s="49">
        <f>IF(Employee!H$87=E$59,Employee!D$87+SUM(N63)+'Feb24'!W63,SUM(N63)+'Feb24'!W63)</f>
        <v>0</v>
      </c>
      <c r="X63" s="49">
        <f>IF(O63=" ",'Feb24'!X63,O63+'Feb24'!X63)</f>
        <v>0</v>
      </c>
      <c r="Y63" s="49">
        <f>IF(P63=" ",'Feb24'!Y63,P63+'Feb24'!Y63)</f>
        <v>0</v>
      </c>
      <c r="Z63" s="49">
        <f>IF(Q63=" ",'Feb24'!Z63,Q63+'Feb24'!Z63)</f>
        <v>0</v>
      </c>
      <c r="AA63" s="49">
        <f>IF(R63=" ",'Feb24'!AA63,R63+'Feb24'!AA63)</f>
        <v>0</v>
      </c>
      <c r="AC63" s="49">
        <f>IF(T63=" ",'Feb24'!AC63,T63+'Feb24'!AC63)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IF(T$59="Y",'Feb24'!H64,0)</f>
        <v>0</v>
      </c>
      <c r="I64" s="92">
        <f>IF(T$59="Y",'Feb24'!I64,0)</f>
        <v>0</v>
      </c>
      <c r="J64" s="92">
        <f>IF(T$59="Y",'Feb24'!J64,0)</f>
        <v>0</v>
      </c>
      <c r="K64" s="92">
        <f>IF(T$59="Y",'Feb24'!K64,I64*J64)</f>
        <v>0</v>
      </c>
      <c r="L64" s="111">
        <f>IF(T$59="Y",'Feb24'!L64,0)</f>
        <v>0</v>
      </c>
      <c r="M64" s="100" t="str">
        <f>IF(E64=" "," ",IF(T$59="Y",'Feb24'!M64,IF((H64+K64+L64)&gt;0,H64+K64+L64,"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IF(Employee!H$113=E$59,Employee!D$112+SUM(M64)+'Feb24'!V64,SUM(M64)+'Feb24'!V64)</f>
        <v>0</v>
      </c>
      <c r="W64" s="49">
        <f>IF(Employee!H$113=E$59,Employee!D$113+SUM(N64)+'Feb24'!W64,SUM(N64)+'Feb24'!W64)</f>
        <v>0</v>
      </c>
      <c r="X64" s="49">
        <f>IF(O64=" ",'Feb24'!X64,O64+'Feb24'!X64)</f>
        <v>0</v>
      </c>
      <c r="Y64" s="49">
        <f>IF(P64=" ",'Feb24'!Y64,P64+'Feb24'!Y64)</f>
        <v>0</v>
      </c>
      <c r="Z64" s="49">
        <f>IF(Q64=" ",'Feb24'!Z64,Q64+'Feb24'!Z64)</f>
        <v>0</v>
      </c>
      <c r="AA64" s="49">
        <f>IF(R64=" ",'Feb24'!AA64,R64+'Feb24'!AA64)</f>
        <v>0</v>
      </c>
      <c r="AC64" s="49">
        <f>IF(T64=" ",'Feb24'!AC64,T64+'Feb24'!AC64)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IF(T$59="Y",'Feb24'!H65,0)</f>
        <v>0</v>
      </c>
      <c r="I65" s="245">
        <f>IF(T$59="Y",'Feb24'!I65,0)</f>
        <v>0</v>
      </c>
      <c r="J65" s="245">
        <f>IF(T$59="Y",'Feb24'!J65,0)</f>
        <v>0</v>
      </c>
      <c r="K65" s="245">
        <f>IF(T$59="Y",'Feb24'!K65,I65*J65)</f>
        <v>0</v>
      </c>
      <c r="L65" s="246">
        <f>IF(T$59="Y",'Feb24'!L65,0)</f>
        <v>0</v>
      </c>
      <c r="M65" s="100" t="str">
        <f>IF(E65=" "," ",IF(T$59="Y",'Feb24'!M65,IF((H65+K65+L65)&gt;0,H65+K65+L65,"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IF(Employee!H$139=E$59,Employee!D$138+SUM(M65)+'Feb24'!V65,SUM(M65)+'Feb24'!V65)</f>
        <v>0</v>
      </c>
      <c r="W65" s="49">
        <f>IF(Employee!H$139=E$59,Employee!D$139+SUM(N65)+'Feb24'!W65,SUM(N65)+'Feb24'!W65)</f>
        <v>0</v>
      </c>
      <c r="X65" s="49">
        <f>IF(O65=" ",'Feb24'!X65,O65+'Feb24'!X65)</f>
        <v>0</v>
      </c>
      <c r="Y65" s="49">
        <f>IF(P65=" ",'Feb24'!Y65,P65+'Feb24'!Y65)</f>
        <v>0</v>
      </c>
      <c r="Z65" s="49">
        <f>IF(Q65=" ",'Feb24'!Z65,Q65+'Feb24'!Z65)</f>
        <v>0</v>
      </c>
      <c r="AA65" s="49">
        <f>IF(R65=" ",'Feb24'!AA65,R65+'Feb24'!AA65)</f>
        <v>0</v>
      </c>
      <c r="AC65" s="49">
        <f>IF(T65=" ",'Feb24'!AC65,T65+'Feb24'!AC65)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AD70+'Feb24'!AD75</f>
        <v>0</v>
      </c>
      <c r="AE75" s="158">
        <f>AE70+'Feb24'!AE75</f>
        <v>0</v>
      </c>
      <c r="AF75" s="158">
        <f>AF70+'Feb24'!AF75</f>
        <v>0</v>
      </c>
      <c r="AG75" s="158">
        <f>AG70+'Feb24'!AG75</f>
        <v>0</v>
      </c>
    </row>
    <row r="76" spans="1:34" ht="14" thickTop="1" x14ac:dyDescent="0.15"/>
    <row r="77" spans="1:34" x14ac:dyDescent="0.15">
      <c r="AD77" s="162"/>
      <c r="AE77" s="158">
        <f>AE72+'Feb24'!AE77</f>
        <v>0</v>
      </c>
      <c r="AF77" s="158">
        <f>AF72+'Feb24'!AF77</f>
        <v>0</v>
      </c>
      <c r="AG77" s="158">
        <f>AG72+'Feb24'!AG77</f>
        <v>0</v>
      </c>
    </row>
  </sheetData>
  <mergeCells count="87">
    <mergeCell ref="M69:R69"/>
    <mergeCell ref="R58:T58"/>
    <mergeCell ref="B67:T67"/>
    <mergeCell ref="B57:T57"/>
    <mergeCell ref="O58:Q58"/>
    <mergeCell ref="B59:D59"/>
    <mergeCell ref="H59:J59"/>
    <mergeCell ref="O59:R59"/>
    <mergeCell ref="B58:E58"/>
    <mergeCell ref="A1:A6"/>
    <mergeCell ref="F66:G6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28:E28"/>
    <mergeCell ref="F46:G46"/>
    <mergeCell ref="B47:T47"/>
    <mergeCell ref="B48:E48"/>
    <mergeCell ref="H39:J39"/>
    <mergeCell ref="F36:G36"/>
    <mergeCell ref="B37:T37"/>
    <mergeCell ref="B38:E38"/>
    <mergeCell ref="B39:D39"/>
    <mergeCell ref="O39:R39"/>
    <mergeCell ref="O38:Q38"/>
    <mergeCell ref="R38:T38"/>
    <mergeCell ref="O29:R29"/>
    <mergeCell ref="B29:D29"/>
    <mergeCell ref="B49:D49"/>
    <mergeCell ref="H49:J49"/>
    <mergeCell ref="F56:G56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H29:J29"/>
    <mergeCell ref="O18:Q18"/>
    <mergeCell ref="R18:T18"/>
    <mergeCell ref="Q3:Q6"/>
    <mergeCell ref="O8:Q8"/>
    <mergeCell ref="M3:M6"/>
    <mergeCell ref="P3:P6"/>
    <mergeCell ref="O19:R19"/>
    <mergeCell ref="B17:T17"/>
    <mergeCell ref="B18:E18"/>
    <mergeCell ref="F26:G26"/>
    <mergeCell ref="B27:T27"/>
    <mergeCell ref="O28:Q28"/>
    <mergeCell ref="R28:T28"/>
    <mergeCell ref="B9:D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Z3:Z6"/>
    <mergeCell ref="AA3:AA6"/>
  </mergeCells>
  <phoneticPr fontId="6" type="noConversion"/>
  <dataValidations count="1">
    <dataValidation type="list" allowBlank="1" showInputMessage="1" showErrorMessage="1" sqref="G61:G65 G51:G55 G31:G35 G11:G15 G21:G25 G41:G4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Apr23</v>
      </c>
      <c r="I3" s="531" t="str">
        <f>IF(M3="ERROR","Enter W or M in cell F3"," ")</f>
        <v xml:space="preserve"> </v>
      </c>
      <c r="J3" s="531"/>
      <c r="K3" s="531"/>
      <c r="L3" s="531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531" t="str">
        <f>IF(M3="ERROR","Enter 1 to 53 in cell F4"," ")</f>
        <v xml:space="preserve"> </v>
      </c>
      <c r="J4" s="531"/>
      <c r="K4" s="531"/>
      <c r="L4" s="531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522"/>
      <c r="B6" s="522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</row>
    <row r="7" spans="1:14" ht="25" customHeight="1" x14ac:dyDescent="0.2">
      <c r="A7" s="256"/>
      <c r="B7" s="499" t="str">
        <f ca="1">IF(M14=" "," ",Employee!$D$5)</f>
        <v xml:space="preserve"> </v>
      </c>
      <c r="C7" s="499"/>
      <c r="D7" s="499"/>
      <c r="E7" s="499"/>
      <c r="F7" s="499"/>
      <c r="G7" s="500" t="str">
        <f ca="1">IF(G14=" "," ",Employee!$D$15)</f>
        <v xml:space="preserve"> </v>
      </c>
      <c r="H7" s="501"/>
      <c r="I7" s="497" t="str">
        <f ca="1">IF(G14=" "," ",Employee!$D$16)</f>
        <v xml:space="preserve"> </v>
      </c>
      <c r="J7" s="498"/>
      <c r="K7" s="498"/>
      <c r="L7" s="523" t="str">
        <f ca="1">INDIRECT($H$3 &amp; "!B" &amp; $H$4)</f>
        <v>WEEKLY PAYROLL</v>
      </c>
      <c r="M7" s="523"/>
      <c r="N7" s="257"/>
    </row>
    <row r="8" spans="1:14" ht="18" customHeight="1" x14ac:dyDescent="0.15">
      <c r="A8" s="258"/>
      <c r="B8" s="509" t="str">
        <f ca="1">IF(M14=" "," ",Employee!$D$6)</f>
        <v xml:space="preserve"> </v>
      </c>
      <c r="C8" s="509"/>
      <c r="D8" s="521"/>
      <c r="E8" s="507"/>
      <c r="F8" s="508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509" t="str">
        <f ca="1">IF(M14=" "," ",Employee!$D$7)</f>
        <v xml:space="preserve"> </v>
      </c>
      <c r="C9" s="509"/>
      <c r="D9" s="509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45025</v>
      </c>
      <c r="J9" s="514" t="s">
        <v>6</v>
      </c>
      <c r="K9" s="514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516"/>
      <c r="E10" s="517"/>
      <c r="F10" s="530"/>
      <c r="G10" s="530"/>
      <c r="H10" s="253" t="str">
        <f>"Tax "&amp;IF($F$3="W","Week","Month")</f>
        <v>Tax Week</v>
      </c>
      <c r="I10" s="268">
        <f ca="1">INDIRECT($H$3 &amp; "!E" &amp; $H$4+1)</f>
        <v>1</v>
      </c>
      <c r="J10" s="510" t="str">
        <f ca="1">IF(M8=" "," ",INDIRECT($H$3 &amp; "!D" &amp; $H$4+2+C10))</f>
        <v xml:space="preserve"> </v>
      </c>
      <c r="K10" s="510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513"/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262"/>
    </row>
    <row r="12" spans="1:14" ht="21" customHeight="1" x14ac:dyDescent="0.15">
      <c r="A12" s="258"/>
      <c r="B12" s="502" t="s">
        <v>121</v>
      </c>
      <c r="C12" s="503"/>
      <c r="D12" s="503"/>
      <c r="E12" s="503"/>
      <c r="F12" s="503"/>
      <c r="G12" s="504" t="s">
        <v>120</v>
      </c>
      <c r="H12" s="512" t="s">
        <v>119</v>
      </c>
      <c r="I12" s="512"/>
      <c r="J12" s="512"/>
      <c r="K12" s="512"/>
      <c r="L12" s="512"/>
      <c r="M12" s="515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505"/>
      <c r="H13" s="251" t="s">
        <v>127</v>
      </c>
      <c r="I13" s="252" t="s">
        <v>111</v>
      </c>
      <c r="J13" s="511" t="s">
        <v>110</v>
      </c>
      <c r="K13" s="511"/>
      <c r="L13" s="248" t="s">
        <v>2</v>
      </c>
      <c r="M13" s="504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518" t="str">
        <f ca="1">IF(M8=" "," ",INDIRECT($H$3 &amp; "!P" &amp; $H$4+2+C10))</f>
        <v xml:space="preserve"> </v>
      </c>
      <c r="K14" s="518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506" t="s">
        <v>109</v>
      </c>
      <c r="C15" s="506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526" t="s">
        <v>108</v>
      </c>
      <c r="F16" s="527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518" t="str">
        <f ca="1">IF(M8=" "," ",INDIRECT($H$3 &amp; "!Y" &amp; $H$4+2+C10))</f>
        <v xml:space="preserve"> </v>
      </c>
      <c r="K16" s="518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513"/>
      <c r="K17" s="513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519" t="s">
        <v>107</v>
      </c>
      <c r="K18" s="520"/>
      <c r="L18" s="52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522"/>
      <c r="N20" s="522"/>
    </row>
    <row r="21" spans="1:14" ht="25" customHeight="1" x14ac:dyDescent="0.2">
      <c r="A21" s="256"/>
      <c r="B21" s="499" t="str">
        <f ca="1">IF(M28=" "," ",Employee!$D$5)</f>
        <v xml:space="preserve"> </v>
      </c>
      <c r="C21" s="499"/>
      <c r="D21" s="499"/>
      <c r="E21" s="499"/>
      <c r="F21" s="499"/>
      <c r="G21" s="500" t="str">
        <f ca="1">IF(G28=" "," ",Employee!$D$41)</f>
        <v xml:space="preserve"> </v>
      </c>
      <c r="H21" s="501"/>
      <c r="I21" s="497" t="str">
        <f ca="1">IF(G28=" "," ",Employee!$D$42)</f>
        <v xml:space="preserve"> </v>
      </c>
      <c r="J21" s="498"/>
      <c r="K21" s="498"/>
      <c r="L21" s="523" t="s">
        <v>23</v>
      </c>
      <c r="M21" s="523"/>
      <c r="N21" s="257"/>
    </row>
    <row r="22" spans="1:14" ht="18" customHeight="1" x14ac:dyDescent="0.15">
      <c r="A22" s="258"/>
      <c r="B22" s="509" t="str">
        <f ca="1">IF(M28=" "," ",Employee!$D$6)</f>
        <v xml:space="preserve"> </v>
      </c>
      <c r="C22" s="509"/>
      <c r="D22" s="521"/>
      <c r="E22" s="507"/>
      <c r="F22" s="508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509" t="str">
        <f ca="1">IF(M28=" "," ",Employee!$D$7)</f>
        <v xml:space="preserve"> </v>
      </c>
      <c r="C23" s="509"/>
      <c r="D23" s="509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45025</v>
      </c>
      <c r="J23" s="514" t="s">
        <v>6</v>
      </c>
      <c r="K23" s="514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513"/>
      <c r="G24" s="513"/>
      <c r="H24" s="253" t="s">
        <v>123</v>
      </c>
      <c r="I24" s="268">
        <f ca="1">I10</f>
        <v>1</v>
      </c>
      <c r="J24" s="510" t="str">
        <f ca="1">IF(M22=" "," ",INDIRECT($H$3 &amp; "!D" &amp; $H$4+2+C24))</f>
        <v xml:space="preserve"> </v>
      </c>
      <c r="K24" s="510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513"/>
      <c r="C25" s="513"/>
      <c r="D25" s="513"/>
      <c r="E25" s="513"/>
      <c r="F25" s="513"/>
      <c r="G25" s="513"/>
      <c r="H25" s="513"/>
      <c r="I25" s="513"/>
      <c r="J25" s="513"/>
      <c r="K25" s="513"/>
      <c r="L25" s="513"/>
      <c r="M25" s="513"/>
      <c r="N25" s="262"/>
    </row>
    <row r="26" spans="1:14" ht="21" customHeight="1" x14ac:dyDescent="0.15">
      <c r="A26" s="258"/>
      <c r="B26" s="502" t="s">
        <v>121</v>
      </c>
      <c r="C26" s="503"/>
      <c r="D26" s="503"/>
      <c r="E26" s="503"/>
      <c r="F26" s="503"/>
      <c r="G26" s="504" t="s">
        <v>120</v>
      </c>
      <c r="H26" s="502" t="s">
        <v>119</v>
      </c>
      <c r="I26" s="512"/>
      <c r="J26" s="512"/>
      <c r="K26" s="512"/>
      <c r="L26" s="512"/>
      <c r="M26" s="524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505"/>
      <c r="H27" s="252" t="s">
        <v>127</v>
      </c>
      <c r="I27" s="252" t="s">
        <v>111</v>
      </c>
      <c r="J27" s="511" t="s">
        <v>110</v>
      </c>
      <c r="K27" s="511"/>
      <c r="L27" s="248" t="s">
        <v>2</v>
      </c>
      <c r="M27" s="525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518" t="str">
        <f ca="1">IF(M22=" "," ",INDIRECT($H$3 &amp; "!P" &amp; $H$4+2+C24))</f>
        <v xml:space="preserve"> </v>
      </c>
      <c r="K28" s="518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506" t="s">
        <v>109</v>
      </c>
      <c r="C29" s="506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526" t="s">
        <v>108</v>
      </c>
      <c r="F30" s="527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518" t="str">
        <f ca="1">IF(M22=" "," ",INDIRECT($H$3 &amp; "!Y" &amp; $H$4+2+C24))</f>
        <v xml:space="preserve"> </v>
      </c>
      <c r="K30" s="518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513"/>
      <c r="K31" s="513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519" t="s">
        <v>107</v>
      </c>
      <c r="K32" s="520"/>
      <c r="L32" s="52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528"/>
      <c r="B34" s="529"/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</row>
    <row r="35" spans="1:14" ht="21" customHeight="1" x14ac:dyDescent="0.15">
      <c r="A35" s="522"/>
      <c r="B35" s="522"/>
      <c r="C35" s="522"/>
      <c r="D35" s="522"/>
      <c r="E35" s="522"/>
      <c r="F35" s="522"/>
      <c r="G35" s="522"/>
      <c r="H35" s="522"/>
      <c r="I35" s="522"/>
      <c r="J35" s="522"/>
      <c r="K35" s="522"/>
      <c r="L35" s="522"/>
      <c r="M35" s="522"/>
      <c r="N35" s="522"/>
    </row>
    <row r="36" spans="1:14" ht="25" customHeight="1" x14ac:dyDescent="0.2">
      <c r="A36" s="256"/>
      <c r="B36" s="499" t="str">
        <f ca="1">IF(M43=" "," ",Employee!$D$5)</f>
        <v xml:space="preserve"> </v>
      </c>
      <c r="C36" s="499"/>
      <c r="D36" s="499"/>
      <c r="E36" s="499"/>
      <c r="F36" s="499"/>
      <c r="G36" s="500" t="str">
        <f ca="1">IF(G43=" "," ",Employee!$D$67)</f>
        <v xml:space="preserve"> </v>
      </c>
      <c r="H36" s="501"/>
      <c r="I36" s="497" t="str">
        <f ca="1">IF(G43=" "," ",Employee!$D$68)</f>
        <v xml:space="preserve"> </v>
      </c>
      <c r="J36" s="498"/>
      <c r="K36" s="498"/>
      <c r="L36" s="523" t="s">
        <v>23</v>
      </c>
      <c r="M36" s="523"/>
      <c r="N36" s="257"/>
    </row>
    <row r="37" spans="1:14" ht="18" customHeight="1" x14ac:dyDescent="0.15">
      <c r="A37" s="258"/>
      <c r="B37" s="509" t="str">
        <f ca="1">IF(M43=" "," ",Employee!$D$6)</f>
        <v xml:space="preserve"> </v>
      </c>
      <c r="C37" s="509"/>
      <c r="D37" s="521"/>
      <c r="E37" s="507"/>
      <c r="F37" s="508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509" t="str">
        <f ca="1">IF(M43=" "," ",Employee!$D$7)</f>
        <v xml:space="preserve"> </v>
      </c>
      <c r="C38" s="509"/>
      <c r="D38" s="509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45025</v>
      </c>
      <c r="J38" s="514" t="s">
        <v>6</v>
      </c>
      <c r="K38" s="514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513"/>
      <c r="G39" s="513"/>
      <c r="H39" s="253" t="s">
        <v>123</v>
      </c>
      <c r="I39" s="268">
        <f ca="1">I24</f>
        <v>1</v>
      </c>
      <c r="J39" s="510" t="str">
        <f ca="1">IF(M37=" "," ",INDIRECT($H$3 &amp; "!D" &amp; $H$4+2+C39))</f>
        <v xml:space="preserve"> </v>
      </c>
      <c r="K39" s="510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513"/>
      <c r="C40" s="513"/>
      <c r="D40" s="513"/>
      <c r="E40" s="513"/>
      <c r="F40" s="513"/>
      <c r="G40" s="513"/>
      <c r="H40" s="513"/>
      <c r="I40" s="513"/>
      <c r="J40" s="513"/>
      <c r="K40" s="513"/>
      <c r="L40" s="513"/>
      <c r="M40" s="513"/>
      <c r="N40" s="262"/>
    </row>
    <row r="41" spans="1:14" ht="21" customHeight="1" x14ac:dyDescent="0.15">
      <c r="A41" s="258"/>
      <c r="B41" s="502" t="s">
        <v>121</v>
      </c>
      <c r="C41" s="503"/>
      <c r="D41" s="503"/>
      <c r="E41" s="503"/>
      <c r="F41" s="503"/>
      <c r="G41" s="504" t="s">
        <v>120</v>
      </c>
      <c r="H41" s="502" t="s">
        <v>119</v>
      </c>
      <c r="I41" s="512"/>
      <c r="J41" s="512"/>
      <c r="K41" s="512"/>
      <c r="L41" s="512"/>
      <c r="M41" s="524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505"/>
      <c r="H42" s="252" t="s">
        <v>127</v>
      </c>
      <c r="I42" s="252" t="s">
        <v>111</v>
      </c>
      <c r="J42" s="511" t="s">
        <v>110</v>
      </c>
      <c r="K42" s="511"/>
      <c r="L42" s="248" t="s">
        <v>2</v>
      </c>
      <c r="M42" s="525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518" t="str">
        <f ca="1">IF(M37=" "," ",INDIRECT($H$3 &amp; "!P" &amp; $H$4+2+C39))</f>
        <v xml:space="preserve"> </v>
      </c>
      <c r="K43" s="518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506" t="s">
        <v>109</v>
      </c>
      <c r="C44" s="506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526" t="s">
        <v>108</v>
      </c>
      <c r="F45" s="527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518" t="str">
        <f ca="1">IF(M37=" "," ",INDIRECT($H$3 &amp; "!Y" &amp; $H$4+2+C39))</f>
        <v xml:space="preserve"> </v>
      </c>
      <c r="K45" s="518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513"/>
      <c r="K46" s="513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519" t="s">
        <v>107</v>
      </c>
      <c r="K47" s="520"/>
      <c r="L47" s="52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522"/>
      <c r="B49" s="522"/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</row>
    <row r="50" spans="1:14" ht="25" customHeight="1" x14ac:dyDescent="0.2">
      <c r="A50" s="256"/>
      <c r="B50" s="499" t="str">
        <f ca="1">IF(M57=" "," ",Employee!$D$5)</f>
        <v xml:space="preserve"> </v>
      </c>
      <c r="C50" s="499"/>
      <c r="D50" s="499"/>
      <c r="E50" s="499"/>
      <c r="F50" s="499"/>
      <c r="G50" s="500" t="str">
        <f ca="1">IF(G57=" "," ",Employee!$D$93)</f>
        <v xml:space="preserve"> </v>
      </c>
      <c r="H50" s="501"/>
      <c r="I50" s="497" t="str">
        <f ca="1">IF(G57=" "," ",Employee!$D$94)</f>
        <v xml:space="preserve"> </v>
      </c>
      <c r="J50" s="498"/>
      <c r="K50" s="498"/>
      <c r="L50" s="523" t="s">
        <v>23</v>
      </c>
      <c r="M50" s="523"/>
      <c r="N50" s="257"/>
    </row>
    <row r="51" spans="1:14" ht="18" customHeight="1" x14ac:dyDescent="0.15">
      <c r="A51" s="258"/>
      <c r="B51" s="509" t="str">
        <f ca="1">IF(M57=" "," ",Employee!$D$6)</f>
        <v xml:space="preserve"> </v>
      </c>
      <c r="C51" s="509"/>
      <c r="D51" s="521"/>
      <c r="E51" s="507"/>
      <c r="F51" s="508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509" t="str">
        <f ca="1">IF(M57=" "," ",Employee!$D$7)</f>
        <v xml:space="preserve"> </v>
      </c>
      <c r="C52" s="509"/>
      <c r="D52" s="509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45025</v>
      </c>
      <c r="J52" s="514" t="s">
        <v>6</v>
      </c>
      <c r="K52" s="514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513"/>
      <c r="G53" s="513"/>
      <c r="H53" s="253" t="s">
        <v>123</v>
      </c>
      <c r="I53" s="268">
        <f ca="1">I39</f>
        <v>1</v>
      </c>
      <c r="J53" s="510" t="str">
        <f ca="1">IF(M51=" "," ",INDIRECT($H$3 &amp; "!D" &amp; $H$4+2+C53))</f>
        <v xml:space="preserve"> </v>
      </c>
      <c r="K53" s="510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513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262"/>
    </row>
    <row r="55" spans="1:14" ht="21" customHeight="1" x14ac:dyDescent="0.15">
      <c r="A55" s="258"/>
      <c r="B55" s="502" t="s">
        <v>121</v>
      </c>
      <c r="C55" s="503"/>
      <c r="D55" s="503"/>
      <c r="E55" s="503"/>
      <c r="F55" s="503"/>
      <c r="G55" s="504" t="s">
        <v>120</v>
      </c>
      <c r="H55" s="502" t="s">
        <v>119</v>
      </c>
      <c r="I55" s="512"/>
      <c r="J55" s="512"/>
      <c r="K55" s="512"/>
      <c r="L55" s="512"/>
      <c r="M55" s="524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505"/>
      <c r="H56" s="252" t="s">
        <v>127</v>
      </c>
      <c r="I56" s="252" t="s">
        <v>111</v>
      </c>
      <c r="J56" s="511" t="s">
        <v>110</v>
      </c>
      <c r="K56" s="511"/>
      <c r="L56" s="248" t="s">
        <v>2</v>
      </c>
      <c r="M56" s="525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518" t="str">
        <f ca="1">IF(M51=" "," ",INDIRECT($H$3 &amp; "!P" &amp; $H$4+2+C53))</f>
        <v xml:space="preserve"> </v>
      </c>
      <c r="K57" s="518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506" t="s">
        <v>109</v>
      </c>
      <c r="C58" s="506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526" t="s">
        <v>108</v>
      </c>
      <c r="F59" s="527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518" t="str">
        <f ca="1">IF(M51=" "," ",INDIRECT($H$3 &amp; "!Y" &amp; $H$4+2+C53))</f>
        <v xml:space="preserve"> </v>
      </c>
      <c r="K59" s="518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513"/>
      <c r="K60" s="513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519" t="s">
        <v>107</v>
      </c>
      <c r="K61" s="520"/>
      <c r="L61" s="52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528"/>
      <c r="B63" s="529"/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29"/>
      <c r="N63" s="529"/>
    </row>
    <row r="64" spans="1:14" ht="21" customHeight="1" x14ac:dyDescent="0.15">
      <c r="A64" s="522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</row>
    <row r="65" spans="1:14" ht="25" customHeight="1" x14ac:dyDescent="0.2">
      <c r="A65" s="256"/>
      <c r="B65" s="499" t="str">
        <f ca="1">IF(M72=" "," ",Employee!$D$5)</f>
        <v xml:space="preserve"> </v>
      </c>
      <c r="C65" s="499"/>
      <c r="D65" s="499"/>
      <c r="E65" s="499"/>
      <c r="F65" s="499"/>
      <c r="G65" s="500" t="str">
        <f ca="1">IF(G72=" "," ",Employee!$D$119)</f>
        <v xml:space="preserve"> </v>
      </c>
      <c r="H65" s="501"/>
      <c r="I65" s="497" t="str">
        <f ca="1">IF(G72=" "," ",Employee!$D$120)</f>
        <v xml:space="preserve"> </v>
      </c>
      <c r="J65" s="498"/>
      <c r="K65" s="498"/>
      <c r="L65" s="523" t="s">
        <v>23</v>
      </c>
      <c r="M65" s="523"/>
      <c r="N65" s="257"/>
    </row>
    <row r="66" spans="1:14" ht="18" customHeight="1" x14ac:dyDescent="0.15">
      <c r="A66" s="258"/>
      <c r="B66" s="509" t="str">
        <f ca="1">IF(M72=" "," ",Employee!$D$6)</f>
        <v xml:space="preserve"> </v>
      </c>
      <c r="C66" s="509"/>
      <c r="D66" s="521"/>
      <c r="E66" s="507"/>
      <c r="F66" s="508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509" t="str">
        <f ca="1">IF(M72=" "," ",Employee!$D$7)</f>
        <v xml:space="preserve"> </v>
      </c>
      <c r="C67" s="509"/>
      <c r="D67" s="509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45025</v>
      </c>
      <c r="J67" s="514" t="s">
        <v>6</v>
      </c>
      <c r="K67" s="514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513"/>
      <c r="G68" s="513"/>
      <c r="H68" s="253" t="s">
        <v>123</v>
      </c>
      <c r="I68" s="268">
        <f ca="1">I53</f>
        <v>1</v>
      </c>
      <c r="J68" s="510" t="str">
        <f ca="1">IF(M66=" "," ",INDIRECT($H$3 &amp; "!D" &amp; $H$4+2+C68))</f>
        <v xml:space="preserve"> </v>
      </c>
      <c r="K68" s="510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513"/>
      <c r="C69" s="513"/>
      <c r="D69" s="513"/>
      <c r="E69" s="513"/>
      <c r="F69" s="513"/>
      <c r="G69" s="513"/>
      <c r="H69" s="513"/>
      <c r="I69" s="513"/>
      <c r="J69" s="513"/>
      <c r="K69" s="513"/>
      <c r="L69" s="513"/>
      <c r="M69" s="513"/>
      <c r="N69" s="262"/>
    </row>
    <row r="70" spans="1:14" ht="21" customHeight="1" x14ac:dyDescent="0.15">
      <c r="A70" s="258"/>
      <c r="B70" s="502" t="s">
        <v>121</v>
      </c>
      <c r="C70" s="503"/>
      <c r="D70" s="503"/>
      <c r="E70" s="503"/>
      <c r="F70" s="503"/>
      <c r="G70" s="504" t="s">
        <v>120</v>
      </c>
      <c r="H70" s="502" t="s">
        <v>119</v>
      </c>
      <c r="I70" s="512"/>
      <c r="J70" s="512"/>
      <c r="K70" s="512"/>
      <c r="L70" s="512"/>
      <c r="M70" s="524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505"/>
      <c r="H71" s="252" t="s">
        <v>112</v>
      </c>
      <c r="I71" s="252" t="s">
        <v>111</v>
      </c>
      <c r="J71" s="511" t="s">
        <v>110</v>
      </c>
      <c r="K71" s="511"/>
      <c r="L71" s="248" t="s">
        <v>2</v>
      </c>
      <c r="M71" s="525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518" t="str">
        <f ca="1">IF(M66=" "," ",INDIRECT($H$3 &amp; "!P" &amp; $H$4+2+C68))</f>
        <v xml:space="preserve"> </v>
      </c>
      <c r="K72" s="518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506" t="s">
        <v>109</v>
      </c>
      <c r="C73" s="506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526" t="s">
        <v>108</v>
      </c>
      <c r="F74" s="527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518" t="str">
        <f ca="1">IF(M66=" "," ",INDIRECT($H$3 &amp; "!Y" &amp; $H$4+2+C68))</f>
        <v xml:space="preserve"> </v>
      </c>
      <c r="K74" s="518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513"/>
      <c r="K75" s="513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519" t="s">
        <v>107</v>
      </c>
      <c r="K76" s="520"/>
      <c r="L76" s="52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522"/>
      <c r="B78" s="522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'Aug23'!AD71+'Aug23'!AE71+'Aug23'!AF71+'Aug23'!AG71</f>
        <v>0</v>
      </c>
      <c r="G8" s="228">
        <f>'Aug23'!AE73+'Aug23'!AF73+'Aug23'!AG73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'Sep23'!AD60+'Sep23'!AE60+'Sep23'!AF60+'Sep23'!AG60</f>
        <v>0</v>
      </c>
      <c r="G9" s="228">
        <f>'Sep23'!AE62+'Sep23'!AF62+'Sep23'!AG62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'Nov23'!AD70+'Nov23'!AE70+'Nov23'!AF70+'Nov23'!AG70</f>
        <v>0</v>
      </c>
      <c r="G11" s="228">
        <f>'Nov23'!AE72+'Nov23'!AF72+'Nov23'!AG72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'Dec23'!AD60+'Dec23'!AE60+'Dec23'!AF60+'Dec23'!AG60</f>
        <v>0</v>
      </c>
      <c r="G12" s="228">
        <f>'Dec23'!AE62+'Dec23'!AF62+'Dec23'!AG62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'Feb24'!AD70+'Feb24'!AE70+'Feb24'!AF70+'Feb24'!AG70</f>
        <v>0</v>
      </c>
      <c r="G14" s="228">
        <f>'Feb24'!AE72+'Feb24'!AF72+'Feb24'!AG72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'Mar24'!AD70+'Mar24'!AE70+'Mar24'!AF70+'Mar24'!AG70</f>
        <v>0</v>
      </c>
      <c r="G15" s="228">
        <f>'Mar24'!AE72+'Mar24'!AF72+'Mar24'!AG72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532"/>
      <c r="C17" s="532"/>
      <c r="D17" s="532"/>
      <c r="E17" s="532"/>
      <c r="F17" s="532"/>
      <c r="G17" s="532"/>
      <c r="H17" s="532"/>
      <c r="I17" s="532"/>
      <c r="J17" s="532"/>
      <c r="K17" s="532"/>
      <c r="L17" s="532"/>
      <c r="M17" s="532"/>
      <c r="N17" s="532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topLeftCell="A364" zoomScaleNormal="100" workbookViewId="0">
      <selection activeCell="A22" sqref="A22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533" t="s">
        <v>76</v>
      </c>
      <c r="H1" s="534"/>
      <c r="I1" s="535">
        <f>B366</f>
        <v>45386</v>
      </c>
      <c r="J1" s="536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537" t="s">
        <v>87</v>
      </c>
      <c r="I3" s="538"/>
      <c r="J3" s="538"/>
      <c r="K3" s="538"/>
      <c r="L3" s="538"/>
      <c r="M3" s="53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2</v>
      </c>
      <c r="D6" s="309">
        <v>1</v>
      </c>
      <c r="E6" s="311"/>
      <c r="F6" s="312">
        <v>2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5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3</v>
      </c>
      <c r="D13" s="309">
        <v>1</v>
      </c>
      <c r="E13" s="311"/>
      <c r="F13" s="312">
        <v>3</v>
      </c>
      <c r="G13" s="303"/>
      <c r="H13" s="309">
        <v>6</v>
      </c>
      <c r="I13" s="309">
        <v>4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5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4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5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5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4</v>
      </c>
      <c r="D20" s="309">
        <v>1</v>
      </c>
      <c r="E20" s="311"/>
      <c r="F20" s="312">
        <v>4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May23</v>
      </c>
      <c r="B27" s="308">
        <f t="shared" si="1"/>
        <v>45047</v>
      </c>
      <c r="C27" s="309">
        <v>5</v>
      </c>
      <c r="D27" s="309">
        <v>2</v>
      </c>
      <c r="E27" s="303"/>
      <c r="F27" s="312">
        <v>1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6</v>
      </c>
      <c r="D34" s="309">
        <v>2</v>
      </c>
      <c r="E34" s="311"/>
      <c r="F34" s="312">
        <v>2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7</v>
      </c>
      <c r="D41" s="309">
        <v>2</v>
      </c>
      <c r="E41" s="311"/>
      <c r="F41" s="312">
        <v>3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8</v>
      </c>
      <c r="D48" s="309">
        <v>2</v>
      </c>
      <c r="E48" s="311"/>
      <c r="F48" s="312">
        <v>4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Jun23</v>
      </c>
      <c r="B55" s="308">
        <f t="shared" si="1"/>
        <v>45075</v>
      </c>
      <c r="C55" s="309">
        <v>9</v>
      </c>
      <c r="D55" s="309">
        <v>3</v>
      </c>
      <c r="E55" s="311"/>
      <c r="F55" s="312">
        <v>1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10</v>
      </c>
      <c r="D62" s="317">
        <v>3</v>
      </c>
      <c r="E62" s="311"/>
      <c r="F62" s="312">
        <v>2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11</v>
      </c>
      <c r="D69" s="309">
        <v>3</v>
      </c>
      <c r="E69" s="311"/>
      <c r="F69" s="312">
        <v>3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12</v>
      </c>
      <c r="D76" s="309">
        <v>3</v>
      </c>
      <c r="E76" s="311"/>
      <c r="F76" s="312">
        <v>4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13</v>
      </c>
      <c r="D83" s="309">
        <v>3</v>
      </c>
      <c r="E83" s="311"/>
      <c r="F83" s="312">
        <v>5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Jul23</v>
      </c>
      <c r="B90" s="308">
        <f t="shared" si="3"/>
        <v>45110</v>
      </c>
      <c r="C90" s="309">
        <v>14</v>
      </c>
      <c r="D90" s="309">
        <v>4</v>
      </c>
      <c r="E90" s="311"/>
      <c r="F90" s="312">
        <v>1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15</v>
      </c>
      <c r="D97" s="309">
        <v>4</v>
      </c>
      <c r="E97" s="311"/>
      <c r="F97" s="312">
        <v>2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16</v>
      </c>
      <c r="D104" s="309">
        <v>4</v>
      </c>
      <c r="E104" s="311"/>
      <c r="F104" s="312">
        <v>3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17</v>
      </c>
      <c r="D111" s="309">
        <v>4</v>
      </c>
      <c r="E111" s="311"/>
      <c r="F111" s="312">
        <v>4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Aug23</v>
      </c>
      <c r="B118" s="308">
        <f t="shared" si="3"/>
        <v>45138</v>
      </c>
      <c r="C118" s="309">
        <v>18</v>
      </c>
      <c r="D118" s="309">
        <v>5</v>
      </c>
      <c r="E118" s="311"/>
      <c r="F118" s="312">
        <v>1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19</v>
      </c>
      <c r="D125" s="309">
        <v>5</v>
      </c>
      <c r="E125" s="311"/>
      <c r="F125" s="312">
        <v>2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20</v>
      </c>
      <c r="D132" s="309">
        <v>5</v>
      </c>
      <c r="E132" s="311"/>
      <c r="F132" s="312">
        <v>3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21</v>
      </c>
      <c r="D139" s="309">
        <v>5</v>
      </c>
      <c r="E139" s="311"/>
      <c r="F139" s="312">
        <v>4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22</v>
      </c>
      <c r="D146" s="309">
        <v>5</v>
      </c>
      <c r="E146" s="311"/>
      <c r="F146" s="312">
        <v>5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Aug23</v>
      </c>
      <c r="B147" s="308">
        <f t="shared" si="5"/>
        <v>45167</v>
      </c>
      <c r="C147" s="309">
        <v>22</v>
      </c>
      <c r="D147" s="309">
        <v>5</v>
      </c>
      <c r="E147" s="311"/>
      <c r="F147" s="312">
        <v>5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Aug23</v>
      </c>
      <c r="B148" s="308">
        <f t="shared" si="5"/>
        <v>45168</v>
      </c>
      <c r="C148" s="309">
        <v>22</v>
      </c>
      <c r="D148" s="309">
        <v>5</v>
      </c>
      <c r="E148" s="311"/>
      <c r="F148" s="312">
        <v>5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Aug23</v>
      </c>
      <c r="B149" s="308">
        <f t="shared" si="5"/>
        <v>45169</v>
      </c>
      <c r="C149" s="309">
        <v>22</v>
      </c>
      <c r="D149" s="309">
        <v>5</v>
      </c>
      <c r="E149" s="311"/>
      <c r="F149" s="309">
        <v>5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Aug23</v>
      </c>
      <c r="B150" s="308">
        <f t="shared" si="5"/>
        <v>45170</v>
      </c>
      <c r="C150" s="309">
        <v>22</v>
      </c>
      <c r="D150" s="309">
        <v>5</v>
      </c>
      <c r="E150" s="311"/>
      <c r="F150" s="312">
        <v>5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Aug23</v>
      </c>
      <c r="B151" s="308">
        <f t="shared" si="5"/>
        <v>45171</v>
      </c>
      <c r="C151" s="309">
        <v>22</v>
      </c>
      <c r="D151" s="309">
        <v>5</v>
      </c>
      <c r="E151" s="311"/>
      <c r="F151" s="312">
        <v>5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Aug23</v>
      </c>
      <c r="B152" s="308">
        <f t="shared" si="5"/>
        <v>45172</v>
      </c>
      <c r="C152" s="309">
        <v>22</v>
      </c>
      <c r="D152" s="309">
        <v>5</v>
      </c>
      <c r="E152" s="311"/>
      <c r="F152" s="312">
        <v>5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23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1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1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1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1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1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1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24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2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2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2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2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2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2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25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3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3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3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3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3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3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26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4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4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4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4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4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4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Oct23</v>
      </c>
      <c r="B181" s="308">
        <f t="shared" si="5"/>
        <v>45201</v>
      </c>
      <c r="C181" s="309">
        <v>27</v>
      </c>
      <c r="D181" s="309">
        <v>7</v>
      </c>
      <c r="E181" s="311"/>
      <c r="F181" s="312">
        <v>1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28</v>
      </c>
      <c r="D188" s="309">
        <v>7</v>
      </c>
      <c r="E188" s="311"/>
      <c r="F188" s="312">
        <v>2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29</v>
      </c>
      <c r="D195" s="309">
        <v>7</v>
      </c>
      <c r="E195" s="311"/>
      <c r="F195" s="312">
        <v>3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30</v>
      </c>
      <c r="D202" s="309">
        <v>7</v>
      </c>
      <c r="E202" s="311"/>
      <c r="F202" s="312">
        <v>4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Nov23</v>
      </c>
      <c r="B209" s="308">
        <f t="shared" si="7"/>
        <v>45229</v>
      </c>
      <c r="C209" s="309">
        <v>31</v>
      </c>
      <c r="D209" s="309">
        <v>8</v>
      </c>
      <c r="E209" s="311"/>
      <c r="F209" s="312">
        <v>1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32</v>
      </c>
      <c r="D216" s="317">
        <v>8</v>
      </c>
      <c r="E216" s="315"/>
      <c r="F216" s="312">
        <v>2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33</v>
      </c>
      <c r="D223" s="309">
        <v>8</v>
      </c>
      <c r="E223" s="311"/>
      <c r="F223" s="312">
        <v>3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34</v>
      </c>
      <c r="D230" s="309">
        <v>8</v>
      </c>
      <c r="E230" s="311"/>
      <c r="F230" s="312">
        <v>4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35</v>
      </c>
      <c r="D237" s="309">
        <v>8</v>
      </c>
      <c r="E237" s="311"/>
      <c r="F237" s="312">
        <v>5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Nov23</v>
      </c>
      <c r="B238" s="308">
        <f t="shared" si="7"/>
        <v>45258</v>
      </c>
      <c r="C238" s="309">
        <v>35</v>
      </c>
      <c r="D238" s="309">
        <v>8</v>
      </c>
      <c r="E238" s="311"/>
      <c r="F238" s="312">
        <v>5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Nov23</v>
      </c>
      <c r="B239" s="308">
        <f t="shared" si="7"/>
        <v>45259</v>
      </c>
      <c r="C239" s="309">
        <v>35</v>
      </c>
      <c r="D239" s="309">
        <v>8</v>
      </c>
      <c r="E239" s="311"/>
      <c r="F239" s="312">
        <v>5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Nov23</v>
      </c>
      <c r="B240" s="308">
        <f t="shared" si="7"/>
        <v>45260</v>
      </c>
      <c r="C240" s="309">
        <v>35</v>
      </c>
      <c r="D240" s="309">
        <v>8</v>
      </c>
      <c r="E240" s="311"/>
      <c r="F240" s="309">
        <v>5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Nov23</v>
      </c>
      <c r="B241" s="308">
        <f t="shared" si="7"/>
        <v>45261</v>
      </c>
      <c r="C241" s="309">
        <v>35</v>
      </c>
      <c r="D241" s="309">
        <v>8</v>
      </c>
      <c r="E241" s="311"/>
      <c r="F241" s="312">
        <v>5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Nov23</v>
      </c>
      <c r="B242" s="308">
        <f t="shared" si="7"/>
        <v>45262</v>
      </c>
      <c r="C242" s="309">
        <v>35</v>
      </c>
      <c r="D242" s="309">
        <v>8</v>
      </c>
      <c r="E242" s="311"/>
      <c r="F242" s="312">
        <v>5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Nov23</v>
      </c>
      <c r="B243" s="308">
        <f t="shared" si="7"/>
        <v>45263</v>
      </c>
      <c r="C243" s="309">
        <v>35</v>
      </c>
      <c r="D243" s="309">
        <v>8</v>
      </c>
      <c r="E243" s="311"/>
      <c r="F243" s="312">
        <v>5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36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1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1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1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1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1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1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37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2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2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2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2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2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2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38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3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3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3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3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3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3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39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4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4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4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4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4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4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Jan24</v>
      </c>
      <c r="B272" s="308">
        <f t="shared" si="9"/>
        <v>45292</v>
      </c>
      <c r="C272" s="309">
        <v>40</v>
      </c>
      <c r="D272" s="309">
        <v>10</v>
      </c>
      <c r="E272" s="311"/>
      <c r="F272" s="312">
        <v>1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41</v>
      </c>
      <c r="D279" s="309">
        <v>10</v>
      </c>
      <c r="E279" s="311"/>
      <c r="F279" s="312">
        <v>2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42</v>
      </c>
      <c r="D286" s="309">
        <v>10</v>
      </c>
      <c r="E286" s="311"/>
      <c r="F286" s="312">
        <v>3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43</v>
      </c>
      <c r="D293" s="309">
        <v>10</v>
      </c>
      <c r="E293" s="311"/>
      <c r="F293" s="312">
        <v>4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Feb24</v>
      </c>
      <c r="B300" s="308">
        <f t="shared" si="9"/>
        <v>45320</v>
      </c>
      <c r="C300" s="309">
        <v>44</v>
      </c>
      <c r="D300" s="309">
        <v>11</v>
      </c>
      <c r="E300" s="311"/>
      <c r="F300" s="312">
        <v>1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45</v>
      </c>
      <c r="D307" s="309">
        <v>11</v>
      </c>
      <c r="E307" s="311"/>
      <c r="F307" s="312">
        <v>2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46</v>
      </c>
      <c r="D314" s="309">
        <v>11</v>
      </c>
      <c r="E314" s="311"/>
      <c r="F314" s="312">
        <v>3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47</v>
      </c>
      <c r="D321" s="309">
        <v>11</v>
      </c>
      <c r="E321" s="311"/>
      <c r="F321" s="312">
        <v>4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48</v>
      </c>
      <c r="D328" s="309">
        <v>11</v>
      </c>
      <c r="E328" s="311"/>
      <c r="F328" s="312">
        <v>5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Feb24</v>
      </c>
      <c r="B329" s="308">
        <f t="shared" si="11"/>
        <v>45349</v>
      </c>
      <c r="C329" s="309">
        <v>48</v>
      </c>
      <c r="D329" s="309">
        <v>11</v>
      </c>
      <c r="E329" s="311"/>
      <c r="F329" s="312">
        <v>5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Feb24</v>
      </c>
      <c r="B330" s="308">
        <f t="shared" si="11"/>
        <v>45350</v>
      </c>
      <c r="C330" s="309">
        <v>48</v>
      </c>
      <c r="D330" s="309">
        <v>11</v>
      </c>
      <c r="E330" s="311"/>
      <c r="F330" s="312">
        <v>5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Feb24</v>
      </c>
      <c r="B331" s="308">
        <f t="shared" si="11"/>
        <v>45351</v>
      </c>
      <c r="C331" s="317">
        <v>48</v>
      </c>
      <c r="D331" s="309">
        <v>11</v>
      </c>
      <c r="E331" s="318"/>
      <c r="F331" s="312">
        <v>5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Feb24</v>
      </c>
      <c r="B332" s="308">
        <f t="shared" si="11"/>
        <v>45352</v>
      </c>
      <c r="C332" s="309">
        <v>48</v>
      </c>
      <c r="D332" s="309">
        <v>11</v>
      </c>
      <c r="E332" s="311"/>
      <c r="F332" s="312">
        <v>5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Feb24</v>
      </c>
      <c r="B333" s="308">
        <f t="shared" si="11"/>
        <v>45353</v>
      </c>
      <c r="C333" s="309">
        <v>48</v>
      </c>
      <c r="D333" s="309">
        <v>11</v>
      </c>
      <c r="E333" s="311"/>
      <c r="F333" s="312">
        <v>5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Feb24</v>
      </c>
      <c r="B334" s="308">
        <f t="shared" si="11"/>
        <v>45354</v>
      </c>
      <c r="C334" s="309">
        <v>48</v>
      </c>
      <c r="D334" s="309">
        <v>11</v>
      </c>
      <c r="E334" s="311"/>
      <c r="F334" s="312">
        <v>5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49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1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1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1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1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1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1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50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2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2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2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2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2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2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51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3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3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3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3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3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3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52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4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4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4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4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4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4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53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5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5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5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5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5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5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5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5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5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5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5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5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5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5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5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5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5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5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2024-07-16T15:58:46Z</dcterms:modified>
</cp:coreProperties>
</file>