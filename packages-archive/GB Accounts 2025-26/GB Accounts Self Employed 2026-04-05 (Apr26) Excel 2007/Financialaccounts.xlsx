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63EF1490-7805-BF43-BAEC-193303CC9B98}" xr6:coauthVersionLast="47" xr6:coauthVersionMax="47" xr10:uidLastSave="{00000000-0000-0000-0000-000000000000}"/>
  <bookViews>
    <workbookView xWindow="1000" yWindow="9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G288" i="16" s="1"/>
  <c r="J280" i="16"/>
  <c r="D169" i="16"/>
  <c r="G141" i="16"/>
  <c r="H136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C48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52" i="16" l="1"/>
  <c r="D144" i="16" l="1"/>
  <c r="D80" i="18"/>
  <c r="D139" i="16"/>
  <c r="O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<sst xmlns="http://schemas.openxmlformats.org/spreadsheetml/2006/main" count="819" uniqueCount="439">
  <si>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</si>
  <si>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</si>
  <si>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</si>
  <si>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</si>
  <si>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</si>
  <si>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</si>
  <si>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</si>
  <si>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</si>
  <si>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</si>
  <si>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</si>
  <si>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</si>
  <si>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</si>
  <si>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</si>
  <si>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</si>
  <si>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</si>
  <si>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</si>
  <si>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</si>
  <si>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</si>
  <si>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</si>
  <si>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</si>
  <si>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</si>
  <si>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</si>
  <si>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</si>
  <si>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</si>
  <si>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</si>
  <si>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</si>
  <si>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</si>
  <si>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</si>
  <si>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</si>
  <si>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</si>
  <si>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</si>
  <si>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</si>
  <si>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</si>
  <si>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</si>
  <si>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</si>
  <si>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</si>
  <si>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</si>
  <si>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</si>
  <si>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</si>
  <si>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</si>
  <si>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</si>
  <si>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</si>
  <si>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</si>
  <si>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</si>
  <si>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</si>
  <si>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</si>
  <si>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</si>
  <si>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</si>
  <si>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</si>
  <si>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</si>
  <si>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</si>
  <si>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</si>
  <si>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</si>
  <si>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</si>
  <si>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</si>
  <si>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</si>
  <si>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</si>
  <si>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</si>
  <si>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</si>
  <si>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</si>
  <si>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</si>
  <si>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</si>
  <si>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</si>
  <si>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&amp; Promotion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</si>
  <si>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</si>
  <si>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</si>
  <si>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</si>
  <si>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</si>
  <si>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</si>
  <si>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</si>
  <si>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</si>
  <si>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</si>
  <si>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</si>
  <si>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</si>
  <si>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</si>
  <si>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</si>
  <si>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</si>
  <si>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</si>
  <si>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</si>
  <si>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</si>
  <si>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</si>
  <si>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</si>
  <si>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</si>
  <si>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</si>
  <si>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</si>
  <si>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</si>
  <si>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</si>
  <si>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</si>
  <si>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</si>
  <si>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</si>
  <si>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</si>
  <si>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</si>
  <si>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</si>
  <si>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</si>
  <si>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</si>
  <si>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</si>
  <si>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</si>
  <si>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</si>
  <si>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</si>
  <si>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</si>
  <si>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</si>
  <si>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</si>
  <si>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</si>
  <si>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</si>
  <si>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</si>
  <si>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</si>
  <si>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</si>
  <si>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</si>
  <si>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</si>
  <si>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</si>
  <si>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</si>
  <si>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</si>
  <si>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</si>
  <si>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</si>
  <si>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</si>
  <si>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</si>
  <si>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</si>
  <si>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</si>
  <si>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</si>
  <si>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</si>
  <si>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</si>
  <si>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</si>
  <si>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</si>
  <si>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</si>
  <si>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</si>
  <si>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</si>
  <si>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</si>
  <si>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</si>
  <si>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</si>
  <si>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</si>
  <si>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</si>
  <si>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</si>
  <si>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</si>
  <si>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</si>
  <si>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</si>
  <si>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</si>
  <si>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</si>
  <si>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</si>
  <si>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</si>
  <si>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</si>
  <si>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</si>
  <si>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</si>
  <si>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</si>
  <si>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</si>
  <si>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</si>
  <si>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</si>
  <si>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</si>
  <si>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</si>
  <si>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</si>
  <si>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</si>
  <si>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</si>
  <si>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</si>
  <si>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</si>
  <si>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</si>
  <si>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</si>
  <si>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</si>
  <si>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</si>
  <si>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</si>
  <si>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</si>
  <si>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</si>
  <si>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</si>
  <si>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</si>
  <si>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</si>
  <si>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</si>
  <si>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</si>
  <si>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</si>
  <si>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</si>
  <si>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</si>
  <si>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</si>
  <si>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</si>
  <si>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</si>
  <si>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</si>
  <si>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</si>
  <si>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</si>
  <si>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</si>
  <si>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</si>
  <si>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</si>
  <si>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</si>
  <si>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</si>
  <si>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</si>
  <si>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</si>
  <si>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</si>
  <si>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</si>
  <si>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</si>
  <si>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</si>
  <si>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</si>
  <si>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</si>
  <si>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</si>
  <si>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</si>
  <si>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</si>
  <si>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</si>
  <si>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</si>
  <si>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</si>
  <si>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</si>
  <si>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</si>
  <si>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</si>
  <si>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</si>
  <si>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</si>
  <si>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</si>
  <si>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</si>
  <si>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</si>
  <si>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</si>
  <si>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</si>
  <si>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</si>
  <si>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</si>
  <si>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</si>
  <si>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</si>
  <si>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</si>
  <si>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</si>
  <si>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</si>
  <si>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</si>
  <si>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</si>
  <si>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</si>
  <si>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</si>
  <si>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</si>
  <si>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</si>
  <si>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</si>
  <si>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</si>
  <si>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</si>
  <si>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</si>
  <si>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</si>
  <si>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</si>
  <si>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</si>
  <si>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</si>
  <si>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</si>
  <si>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</si>
  <si>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</si>
  <si>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</si>
  <si>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</si>
  <si>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</si>
  <si>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</si>
  <si>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</si>
  <si>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</si>
  <si>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</si>
  <si>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</si>
  <si>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</si>
  <si>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</si>
  <si>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</si>
  <si>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</si>
  <si>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</si>
  <si>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</si>
  <si>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</si>
  <si>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</si>
  <si>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</si>
  <si>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</si>
  <si>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</si>
  <si>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</si>
  <si>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</si>
  <si>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</si>
  <si>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</si>
  <si>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</si>
  <si>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</si>
  <si>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</si>
  <si>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</si>
  <si>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</si>
  <si>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</si>
  <si>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</si>
  <si>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</si>
  <si>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</si>
  <si>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</si>
  <si>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</si>
  <si>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</si>
  <si>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</si>
  <si>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</si>
  <si>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</si>
  <si>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</si>
  <si>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</si>
  <si>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</si>
  <si>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</si>
  <si>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</si>
  <si>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</si>
  <si>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</si>
  <si>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</si>
  <si>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</si>
  <si>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</si>
  <si>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</si>
  <si>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</si>
  <si>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</si>
  <si>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</si>
  <si>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</si>
  <si>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</si>
  <si>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</si>
  <si>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</si>
  <si>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</si>
  <si>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</si>
  <si>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</si>
  <si>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</si>
  <si>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</si>
  <si>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</si>
  <si>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</si>
  <si>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</si>
  <si>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</si>
  <si>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</si>
  <si>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</si>
  <si>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</si>
  <si>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</si>
  <si>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</si>
  <si>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</si>
  <si>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</si>
  <si>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</si>
  <si>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</si>
  <si>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</si>
  <si>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</si>
  <si>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</si>
  <si>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</si>
  <si>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</si>
  <si>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</si>
  <si>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</si>
  <si>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</si>
  <si>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</si>
  <si>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</si>
  <si>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</si>
  <si>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</si>
  <si>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</si>
  <si>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</si>
  <si>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</si>
  <si>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</si>
  <si>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</si>
  <si>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8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</si>
  <si>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</si>
  <si>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£30,000</t>
    </r>
  </si>
  <si>
    <t>you may just put your total expenses in box 19,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</si>
  <si>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</si>
  <si>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</si>
  <si>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</si>
  <si>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</si>
  <si>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</si>
  <si>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</si>
  <si>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10 to 18</t>
    </r>
  </si>
  <si>
    <t>expenses (box 8 + box 9 minus box 19)</t>
  </si>
  <si>
    <t>income (box 8 + box 9 minus box 19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</si>
  <si>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</si>
  <si>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</si>
  <si>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</si>
  <si>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</si>
  <si>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</si>
  <si>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</si>
  <si>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</si>
  <si>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</si>
  <si>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8 or 9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</si>
  <si>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</si>
  <si>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</si>
  <si>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</si>
  <si>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29),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30 to 32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</si>
  <si>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</si>
  <si>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</si>
  <si>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</si>
  <si>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</si>
  <si>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</si>
  <si>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</si>
  <si>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</si>
  <si>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</si>
  <si>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</si>
  <si>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</si>
  <si>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</si>
  <si>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</si>
  <si>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</si>
  <si>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</si>
  <si>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</si>
  <si>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</si>
  <si>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</si>
  <si>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</si>
  <si>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</si>
  <si>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</si>
  <si>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</si>
  <si>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</si>
  <si>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</si>
  <si>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</si>
  <si>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</si>
  <si>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</si>
  <si>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</si>
  <si>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</si>
  <si>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</si>
  <si>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</si>
  <si>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</si>
  <si>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</si>
  <si>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</si>
  <si>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</si>
  <si>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</si>
  <si>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</si>
  <si>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</si>
  <si>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</si>
  <si>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</si>
  <si>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</si>
  <si>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</si>
  <si>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</si>
  <si>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</si>
  <si>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</si>
  <si>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</si>
  <si>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</si>
  <si>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</si>
  <si>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27</t>
    </r>
  </si>
  <si>
    <t>Net business profit for tax purposes (if box 20 + box 25 +</t>
  </si>
  <si>
    <t>box 26 minus boxes 21 to 24) is positive)</t>
  </si>
  <si>
    <t>Total taxable profits from this business</t>
  </si>
  <si>
    <t>Net business loss for tax purposes (if boxes 21 to 24</t>
  </si>
  <si>
    <t>if box 27 + box 29 minus box 28 is positive</t>
  </si>
  <si>
    <t>minus (box 20 + box 25 + box 26)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</si>
  <si>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</si>
  <si>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</si>
  <si>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</si>
  <si>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</si>
  <si>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</si>
  <si>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</si>
  <si>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</si>
  <si>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</si>
  <si>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Not captured in DIY Accounting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</si>
  <si>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</si>
  <si>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</si>
  <si>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</si>
  <si>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</si>
  <si>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</si>
  <si>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</si>
  <si>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</si>
  <si>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</si>
  <si>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</si>
  <si>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</si>
  <si>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</si>
  <si>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</si>
  <si>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</si>
  <si>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</si>
  <si>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</si>
  <si>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</si>
  <si>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</si>
  <si>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</si>
  <si>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</si>
  <si>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</si>
  <si>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</si>
  <si>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</si>
  <si>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</si>
  <si>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</si>
  <si>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</si>
  <si>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</si>
  <si>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</si>
  <si>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</si>
  <si>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</si>
  <si>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</si>
  <si>
    <t>2026-27</t>
  </si>
  <si>
    <t>COPY DETAILS TO HMRC FORM          Submit HMRC RETURN ONLINE                   by 31st January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</si>
</sst>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S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6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0" t="s">
        <v>146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13"/>
      <c r="D5" s="314"/>
      <c r="E5" s="314"/>
      <c r="F5" s="314"/>
      <c r="G5" s="314"/>
      <c r="H5" s="314"/>
      <c r="I5" s="314"/>
      <c r="J5" s="315"/>
      <c r="K5" s="181"/>
      <c r="L5" s="181"/>
      <c r="M5" s="181"/>
      <c r="N5" s="181"/>
      <c r="O5" s="313"/>
      <c r="P5" s="315"/>
      <c r="Q5" s="181"/>
      <c r="R5" s="313"/>
      <c r="S5" s="314"/>
      <c r="T5" s="314"/>
      <c r="U5" s="315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13"/>
      <c r="D7" s="314"/>
      <c r="E7" s="314"/>
      <c r="F7" s="314"/>
      <c r="G7" s="314"/>
      <c r="H7" s="314"/>
      <c r="I7" s="314"/>
      <c r="J7" s="315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08" t="s">
        <v>18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13"/>
      <c r="D12" s="314"/>
      <c r="E12" s="314"/>
      <c r="F12" s="314"/>
      <c r="G12" s="314"/>
      <c r="H12" s="314"/>
      <c r="I12" s="314"/>
      <c r="J12" s="315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13"/>
      <c r="D14" s="314"/>
      <c r="E14" s="314"/>
      <c r="F14" s="314"/>
      <c r="G14" s="314"/>
      <c r="H14" s="314"/>
      <c r="I14" s="314"/>
      <c r="J14" s="315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19">
        <f>Admin!B4</f>
        <v>45753</v>
      </c>
      <c r="T16" s="320"/>
      <c r="U16" s="320"/>
      <c r="V16" s="320"/>
      <c r="W16" s="187"/>
    </row>
    <row r="17" spans="1:23" ht="15" customHeight="1" x14ac:dyDescent="0.15">
      <c r="A17" s="185"/>
      <c r="B17" s="181"/>
      <c r="C17" s="313"/>
      <c r="D17" s="314"/>
      <c r="E17" s="314"/>
      <c r="F17" s="314"/>
      <c r="G17" s="314"/>
      <c r="H17" s="314"/>
      <c r="I17" s="314"/>
      <c r="J17" s="315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13"/>
      <c r="D19" s="314"/>
      <c r="E19" s="314"/>
      <c r="F19" s="314"/>
      <c r="G19" s="314"/>
      <c r="H19" s="314"/>
      <c r="I19" s="314"/>
      <c r="J19" s="315"/>
      <c r="K19" s="181"/>
      <c r="L19" s="181"/>
      <c r="M19" s="181"/>
      <c r="N19" s="316"/>
      <c r="O19" s="317"/>
      <c r="P19" s="317"/>
      <c r="Q19" s="318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13"/>
      <c r="D21" s="314"/>
      <c r="E21" s="314"/>
      <c r="F21" s="314"/>
      <c r="G21" s="314"/>
      <c r="H21" s="314"/>
      <c r="I21" s="314"/>
      <c r="J21" s="315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19">
        <f>Admin!B17</f>
        <v>46117</v>
      </c>
      <c r="T21" s="320"/>
      <c r="U21" s="320"/>
      <c r="V21" s="320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1" t="s">
        <v>157</v>
      </c>
      <c r="O22" s="321"/>
      <c r="P22" s="321"/>
      <c r="Q22" s="321"/>
      <c r="R22" s="321"/>
      <c r="S22" s="321"/>
      <c r="T22" s="321"/>
      <c r="U22" s="321"/>
      <c r="V22" s="321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1"/>
      <c r="O23" s="321"/>
      <c r="P23" s="321"/>
      <c r="Q23" s="321"/>
      <c r="R23" s="321"/>
      <c r="S23" s="321"/>
      <c r="T23" s="321"/>
      <c r="U23" s="321"/>
      <c r="V23" s="321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6"/>
      <c r="O24" s="317"/>
      <c r="P24" s="317"/>
      <c r="Q24" s="318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13"/>
      <c r="D25" s="314"/>
      <c r="E25" s="314"/>
      <c r="F25" s="314"/>
      <c r="G25" s="314"/>
      <c r="H25" s="314"/>
      <c r="I25" s="314"/>
      <c r="J25" s="315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13"/>
      <c r="D27" s="314"/>
      <c r="E27" s="314"/>
      <c r="F27" s="314"/>
      <c r="G27" s="314"/>
      <c r="H27" s="314"/>
      <c r="I27" s="314"/>
      <c r="J27" s="315"/>
      <c r="K27" s="181"/>
      <c r="L27" s="181"/>
      <c r="M27" s="181"/>
      <c r="N27" s="316"/>
      <c r="O27" s="317"/>
      <c r="P27" s="317"/>
      <c r="Q27" s="318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22"/>
      <c r="D30" s="323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6">
        <f>Admin!B17</f>
        <v>46117</v>
      </c>
      <c r="O32" s="317"/>
      <c r="P32" s="317"/>
      <c r="Q32" s="318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27" t="s">
        <v>166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s">
        <v>167</v>
      </c>
      <c r="D36" s="182"/>
      <c r="E36" s="182"/>
      <c r="F36" s="182"/>
      <c r="G36" s="182"/>
      <c r="H36" s="182"/>
      <c r="I36" s="182"/>
      <c r="J36" s="182"/>
      <c r="K36" s="182"/>
      <c r="L36" s="194">
        <v>12</v>
      </c>
      <c r="M36" s="181"/>
      <c r="N36" s="182" t="s">
        <v>168</v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s">
        <v>169</v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s">
        <v>170</v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>
        <v>11</v>
      </c>
      <c r="B41" s="181"/>
      <c r="C41" s="182" t="s">
        <v>171</v>
      </c>
      <c r="D41" s="182"/>
      <c r="E41" s="182"/>
      <c r="F41" s="182"/>
      <c r="G41" s="182"/>
      <c r="H41" s="182"/>
      <c r="I41" s="182"/>
      <c r="J41" s="182"/>
      <c r="K41" s="182"/>
      <c r="L41" s="194">
        <v>13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 t="s">
        <v>173</v>
      </c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s">
        <v>174</v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 t="s">
        <v>170</v>
      </c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96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28">
        <v>0</v>
      </c>
      <c r="E50" s="329"/>
      <c r="F50" s="330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28"/>
      <c r="P50" s="331"/>
      <c r="Q50" s="332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24">
        <f>'SE Short'!O94</f>
        <v>0</v>
      </c>
      <c r="E55" s="325"/>
      <c r="F55" s="326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24">
        <f>D50-D55+'SE Short'!O106</f>
        <v>0</v>
      </c>
      <c r="P55" s="325"/>
      <c r="Q55" s="326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</sheetData>
  <mergeCells count="26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33" t="s">
        <v>306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37"/>
      <c r="O1" s="338" t="s">
        <v>307</v>
      </c>
      <c r="P1" s="338"/>
      <c r="Q1" s="338"/>
      <c r="R1" s="338"/>
      <c r="S1" s="338"/>
      <c r="T1" s="338"/>
      <c r="U1" s="338"/>
      <c r="V1" s="338"/>
      <c r="W1" s="338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7"/>
      <c r="O2" s="339" t="s">
        <v>184</v>
      </c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9" t="str">
        <f>IF('Business Details'!C5&gt;0,'Business Details'!C5:J5," ")</f>
        <v xml:space="preserve"> </v>
      </c>
      <c r="D8" s="350"/>
      <c r="E8" s="350"/>
      <c r="F8" s="350"/>
      <c r="G8" s="350"/>
      <c r="H8" s="350"/>
      <c r="I8" s="350"/>
      <c r="J8" s="351"/>
      <c r="K8" s="220"/>
      <c r="L8" s="220"/>
      <c r="M8" s="220"/>
      <c r="N8" s="220"/>
      <c r="O8" s="313" t="str">
        <f>IF('Business Details'!O5&gt;0,'Business Details'!O5," ")</f>
        <v xml:space="preserve"> </v>
      </c>
      <c r="P8" s="315"/>
      <c r="Q8" s="181"/>
      <c r="R8" s="313" t="str">
        <f>IF('Business Details'!R5&gt;0,'Business Details'!R5," ")</f>
        <v xml:space="preserve"> </v>
      </c>
      <c r="S8" s="314"/>
      <c r="T8" s="314"/>
      <c r="U8" s="315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52" t="s">
        <v>18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9" t="str">
        <f>IF('Business Details'!C17&gt;0,'Business Details'!C17," ")</f>
        <v xml:space="preserve"> </v>
      </c>
      <c r="D13" s="350"/>
      <c r="E13" s="350"/>
      <c r="F13" s="350"/>
      <c r="G13" s="350"/>
      <c r="H13" s="350"/>
      <c r="I13" s="350"/>
      <c r="J13" s="351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9" t="str">
        <f>IF('Business Details'!C19&gt;0,'Business Details'!C19," ")</f>
        <v xml:space="preserve"> </v>
      </c>
      <c r="D15" s="350"/>
      <c r="E15" s="350"/>
      <c r="F15" s="350"/>
      <c r="G15" s="350"/>
      <c r="H15" s="350"/>
      <c r="I15" s="350"/>
      <c r="J15" s="351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9" t="str">
        <f>IF('Business Details'!C21&gt;0,'Business Details'!C21," ")</f>
        <v xml:space="preserve"> </v>
      </c>
      <c r="D17" s="350"/>
      <c r="E17" s="350"/>
      <c r="F17" s="350"/>
      <c r="G17" s="350"/>
      <c r="H17" s="350"/>
      <c r="I17" s="350"/>
      <c r="J17" s="351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53">
        <f>Q2</f>
        <v>45753</v>
      </c>
      <c r="T17" s="354"/>
      <c r="U17" s="354"/>
      <c r="V17" s="354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55" t="s">
        <v>310</v>
      </c>
      <c r="O18" s="355"/>
      <c r="P18" s="355"/>
      <c r="Q18" s="355"/>
      <c r="R18" s="355"/>
      <c r="S18" s="355"/>
      <c r="T18" s="355"/>
      <c r="U18" s="355"/>
      <c r="V18" s="355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2" t="str">
        <f>IF('Business Details'!N19&gt;0,'Business Details'!N19," ")</f>
        <v xml:space="preserve"> </v>
      </c>
      <c r="O20" s="343"/>
      <c r="P20" s="343"/>
      <c r="Q20" s="344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59" t="str">
        <f>IF('Business Details'!C30&gt;0,'Business Details'!C30," ")</f>
        <v xml:space="preserve"> </v>
      </c>
      <c r="D22" s="360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53">
        <f>V2</f>
        <v>46117</v>
      </c>
      <c r="T23" s="361"/>
      <c r="U23" s="362"/>
      <c r="V23" s="362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2" t="str">
        <f>IF('Business Details'!N24&gt;0,'Business Details'!N24," ")</f>
        <v xml:space="preserve"> </v>
      </c>
      <c r="O26" s="343"/>
      <c r="P26" s="343"/>
      <c r="Q26" s="363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2">
        <f>Admin!B17</f>
        <v>46117</v>
      </c>
      <c r="O31" s="343"/>
      <c r="P31" s="343"/>
      <c r="Q31" s="363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64" t="str">
        <f>IF(D38&gt;67000,"SELF-EMPLOYMENT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8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9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56">
        <f>'Profit &amp; Loss Account'!B9</f>
        <v>0</v>
      </c>
      <c r="E38" s="357"/>
      <c r="F38" s="358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56">
        <f>'Profit &amp; Loss Account'!B38</f>
        <v>0</v>
      </c>
      <c r="P38" s="357"/>
      <c r="Q38" s="358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65" t="s">
        <v>319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</row>
    <row r="41" spans="1:23" s="254" customFormat="1" ht="14" customHeight="1" x14ac:dyDescent="0.15">
      <c r="A41" s="366" t="s">
        <v>320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</row>
    <row r="42" spans="1:23" s="254" customFormat="1" ht="14" customHeight="1" x14ac:dyDescent="0.15">
      <c r="A42" s="366" t="s">
        <v>321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10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15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56" t="str">
        <f>IF('Profit &amp; Loss Account'!B9&gt;30000,'Profit &amp; Loss Account'!B17," ")</f>
        <v xml:space="preserve"> </v>
      </c>
      <c r="E46" s="357"/>
      <c r="F46" s="358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56" t="str">
        <f>IF('Profit &amp; Loss Account'!B9&gt;30000,'Profit &amp; Loss Account'!B28," ")</f>
        <v xml:space="preserve"> </v>
      </c>
      <c r="P46" s="357"/>
      <c r="Q46" s="358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11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16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56" t="str">
        <f>IF('Profit &amp; Loss Account'!B9&gt;30000,'Profit &amp; Loss Account'!B25+'Profit &amp; Loss Account'!B26," ")</f>
        <v xml:space="preserve"> </v>
      </c>
      <c r="E51" s="357"/>
      <c r="F51" s="358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56" t="str">
        <f>IF('Profit &amp; Loss Account'!B9&gt;30000,'Profit &amp; Loss Account'!B30+'Profit &amp; Loss Account'!B31," ")</f>
        <v xml:space="preserve"> </v>
      </c>
      <c r="P51" s="357"/>
      <c r="Q51" s="358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12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17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 t="str">
        <f>IF('Profit &amp; Loss Account'!B9&gt;30000,'Profit &amp; Loss Account'!B21," ")</f>
        <v xml:space="preserve"> 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 t="str">
        <f>IF('Profit &amp; Loss Account'!B9&gt;30000,'Profit &amp; Loss Account'!B24," ")</f>
        <v xml:space="preserve"> </v>
      </c>
      <c r="P55" s="357"/>
      <c r="Q55" s="358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13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18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56" t="str">
        <f>IF('Profit &amp; Loss Account'!B9&gt;30000,'Profit &amp; Loss Account'!B22," ")</f>
        <v xml:space="preserve"> </v>
      </c>
      <c r="E60" s="357"/>
      <c r="F60" s="358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56" t="str">
        <f>IF('Profit &amp; Loss Account'!B9&gt;30000,'Profit &amp; Loss Account'!B27+'Profit &amp; Loss Account'!B29+'Profit &amp; Loss Account'!B32+'Profit &amp; Loss Account'!B33," ")</f>
        <v xml:space="preserve"> </v>
      </c>
      <c r="P60" s="357"/>
      <c r="Q60" s="358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14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19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56" t="str">
        <f>IF('Profit &amp; Loss Account'!B9&gt;30000,'Profit &amp; Loss Account'!B23," ")</f>
        <v xml:space="preserve"> </v>
      </c>
      <c r="E64" s="357"/>
      <c r="F64" s="358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56">
        <f>'Profit &amp; Loss Account'!B17+'Profit &amp; Loss Account'!B35-'Profit &amp; Loss Account'!B34</f>
        <v>0</v>
      </c>
      <c r="P64" s="357"/>
      <c r="Q64" s="358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67" t="s">
        <v>213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20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21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56">
        <f>IF((D38+O38-O64)&gt;=0,D38+O38-O64,0)</f>
        <v>0</v>
      </c>
      <c r="E71" s="357"/>
      <c r="F71" s="358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56">
        <f>IF((D38+O38-O64)&lt;0,O64-D38-O38,0)</f>
        <v>0</v>
      </c>
      <c r="P71" s="357"/>
      <c r="Q71" s="358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65" t="s">
        <v>218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Y73" s="257"/>
      <c r="Z73" s="257"/>
    </row>
    <row r="74" spans="1:26" ht="14" customHeight="1" x14ac:dyDescent="0.15">
      <c r="A74" s="366" t="s">
        <v>331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</row>
    <row r="75" spans="1:26" ht="14" customHeight="1" x14ac:dyDescent="0.15">
      <c r="A75" s="366" t="s">
        <v>332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Y75" s="257"/>
      <c r="Z75" s="257"/>
    </row>
    <row r="76" spans="1:26" ht="13.5" customHeight="1" x14ac:dyDescent="0.15">
      <c r="A76" s="366" t="s">
        <v>333</v>
      </c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22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24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56">
        <f>IF(([1]Schedule!$Q$1)&gt;0,[1]Schedule!$Q$1,0)</f>
        <v>0</v>
      </c>
      <c r="E80" s="357"/>
      <c r="F80" s="358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56">
        <f>IF(([1]Schedule!$R$1+[1]Schedule!$Y$1)&gt;0,[1]Schedule!$R$1+[1]Schedule!$Y$1,0)</f>
        <v>0</v>
      </c>
      <c r="P80" s="357"/>
      <c r="Q80" s="358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23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25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56">
        <f>IF(([1]Schedule!$R$1+[1]Schedule!$S$1)&lt;1000,[1]Schedule!$S$1,0)</f>
        <v>0</v>
      </c>
      <c r="E85" s="357"/>
      <c r="F85" s="358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56">
        <f>IF([1]Schedule!$Z$1&gt;0,[1]Schedule!$Z$1,0)</f>
        <v>0</v>
      </c>
      <c r="P85" s="357"/>
      <c r="Q85" s="358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68" t="s">
        <v>335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</row>
    <row r="88" spans="1:23" ht="16" customHeight="1" x14ac:dyDescent="0.15">
      <c r="A88" s="366" t="s">
        <v>336</v>
      </c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</row>
    <row r="89" spans="1:23" ht="15.75" customHeight="1" x14ac:dyDescent="0.15">
      <c r="A89" s="366" t="s">
        <v>337</v>
      </c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36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26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28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56">
        <f>'Business Details'!O50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IF(O106&gt;0,0,IF('Business Details'!D50=0,0,IF(D99&gt;'Business Details'!D50,'Business Details'!D50,D99)))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27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29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56">
        <f>IF((D71+O85+D94-O71-D80-D85-O80)&gt;0,D71+O85+D94-O71-D80-D85-O80,0)</f>
        <v>0</v>
      </c>
      <c r="E99" s="357"/>
      <c r="F99" s="358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56">
        <f>'Profit &amp; Loss Account'!B11</f>
        <v>0</v>
      </c>
      <c r="P99" s="357"/>
      <c r="Q99" s="358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65" t="s">
        <v>341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30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31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56">
        <f>IF((D99+O99-O94)&gt;0,D99+O99-O94,0)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56">
        <f>IF((O71+D80+D85+O80-D71-O85-D94)&gt;=0,O71+D80+D85+O80-D71-O85-D94,0)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68" t="s">
        <v>342</v>
      </c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</row>
    <row r="109" spans="1:26" ht="16" customHeight="1" x14ac:dyDescent="0.15">
      <c r="A109" s="366" t="s">
        <v>343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32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35</v>
      </c>
      <c r="M111" s="220"/>
      <c r="N111" s="227" t="s">
        <v>345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69" t="str">
        <f>Admin!G2</f>
        <v>2025-26</v>
      </c>
      <c r="E112" s="361"/>
      <c r="F112" s="361"/>
      <c r="G112" s="227"/>
      <c r="H112" s="227"/>
      <c r="I112" s="227"/>
      <c r="J112" s="227"/>
      <c r="K112" s="227"/>
      <c r="L112" s="227"/>
      <c r="M112" s="220"/>
      <c r="N112" s="227" t="s">
        <v>398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/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33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36</v>
      </c>
      <c r="M116" s="220"/>
      <c r="N116" s="227" t="s">
        <v>301</v>
      </c>
      <c r="O116" s="220"/>
      <c r="P116" s="220"/>
      <c r="Q116" s="220"/>
      <c r="R116" s="370" t="str">
        <f>Admin!G2</f>
        <v>2025-26</v>
      </c>
      <c r="S116" s="371"/>
      <c r="T116" s="371"/>
      <c r="U116" s="227" t="s">
        <v>347</v>
      </c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399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 t="s">
        <v>236</v>
      </c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56"/>
      <c r="E119" s="357"/>
      <c r="F119" s="358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34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37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56">
        <f>'Business Details'!O55</f>
        <v>0</v>
      </c>
      <c r="E124" s="357"/>
      <c r="F124" s="358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56">
        <f>[2]Mar!$X$1</f>
        <v>0</v>
      </c>
      <c r="P124" s="357"/>
      <c r="Q124" s="358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33" t="s">
        <v>182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72" t="s">
        <v>183</v>
      </c>
      <c r="O1" s="372"/>
      <c r="P1" s="372"/>
      <c r="Q1" s="372"/>
      <c r="R1" s="372"/>
      <c r="S1" s="372"/>
      <c r="T1" s="372"/>
      <c r="U1" s="372"/>
      <c r="V1" s="372"/>
      <c r="W1" s="372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9" t="s">
        <v>184</v>
      </c>
      <c r="O2" s="339"/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74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76"/>
      <c r="K8" s="220"/>
      <c r="L8" s="220"/>
      <c r="M8" s="220"/>
      <c r="N8" s="220"/>
      <c r="O8" s="374" t="str">
        <f>IF('Business Details'!O5&gt;0,'Business Details'!O5," ")</f>
        <v xml:space="preserve"> </v>
      </c>
      <c r="P8" s="376"/>
      <c r="Q8" s="220"/>
      <c r="R8" s="374" t="str">
        <f>IF('Business Details'!R5&gt;0,'Business Details'!R5," ")</f>
        <v xml:space="preserve"> </v>
      </c>
      <c r="S8" s="375"/>
      <c r="T8" s="375"/>
      <c r="U8" s="376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74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76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73" t="s">
        <v>18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52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s">
        <v>150</v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74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76"/>
      <c r="K15" s="220"/>
      <c r="L15" s="220"/>
      <c r="M15" s="220"/>
      <c r="N15" s="241" t="s">
        <v>151</v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s">
        <v>152</v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74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76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53">
        <f>Admin!B4</f>
        <v>45753</v>
      </c>
      <c r="T19" s="362"/>
      <c r="U19" s="362"/>
      <c r="V19" s="362"/>
      <c r="W19" s="239"/>
    </row>
    <row r="20" spans="1:23" ht="15" customHeight="1" x14ac:dyDescent="0.15">
      <c r="A20" s="240"/>
      <c r="B20" s="220"/>
      <c r="C20" s="374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76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74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76"/>
      <c r="K22" s="220"/>
      <c r="L22" s="220"/>
      <c r="M22" s="220"/>
      <c r="N22" s="342" t="str">
        <f>IF('Business Details'!N10&gt;0,'Business Details'!N19," ")</f>
        <v xml:space="preserve"> </v>
      </c>
      <c r="O22" s="343"/>
      <c r="P22" s="343"/>
      <c r="Q22" s="344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74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76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53">
        <f>Admin!B17</f>
        <v>46117</v>
      </c>
      <c r="T24" s="362"/>
      <c r="U24" s="362"/>
      <c r="V24" s="362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55" t="s">
        <v>157</v>
      </c>
      <c r="O25" s="355"/>
      <c r="P25" s="355"/>
      <c r="Q25" s="355"/>
      <c r="R25" s="355"/>
      <c r="S25" s="355"/>
      <c r="T25" s="355"/>
      <c r="U25" s="355"/>
      <c r="V25" s="355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55"/>
      <c r="O26" s="355"/>
      <c r="P26" s="355"/>
      <c r="Q26" s="355"/>
      <c r="R26" s="355"/>
      <c r="S26" s="355"/>
      <c r="T26" s="355"/>
      <c r="U26" s="355"/>
      <c r="V26" s="355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2" t="str">
        <f>IF('Business Details'!N24&gt;0,'Business Details'!N24," ")</f>
        <v xml:space="preserve"> </v>
      </c>
      <c r="O27" s="343"/>
      <c r="P27" s="343"/>
      <c r="Q27" s="344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74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76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74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76"/>
      <c r="K30" s="220"/>
      <c r="L30" s="220"/>
      <c r="M30" s="220"/>
      <c r="N30" s="342" t="str">
        <f>IF('Business Details'!N27&gt;0,'Business Details'!N27," ")</f>
        <v xml:space="preserve"> </v>
      </c>
      <c r="O30" s="343"/>
      <c r="P30" s="343"/>
      <c r="Q30" s="344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s">
        <v>162</v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77" t="str">
        <f>IF('Business Details'!C30&gt;0,'Business Details'!C30," ")</f>
        <v xml:space="preserve"> </v>
      </c>
      <c r="D33" s="378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s">
        <v>164</v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s">
        <v>165</v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2">
        <f>Admin!B17</f>
        <v>46117</v>
      </c>
      <c r="O35" s="343"/>
      <c r="P35" s="343"/>
      <c r="Q35" s="344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68" t="s">
        <v>166</v>
      </c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s">
        <v>167</v>
      </c>
      <c r="D39" s="227"/>
      <c r="E39" s="227"/>
      <c r="F39" s="227"/>
      <c r="G39" s="227"/>
      <c r="H39" s="227"/>
      <c r="I39" s="227"/>
      <c r="J39" s="227"/>
      <c r="K39" s="227"/>
      <c r="L39" s="236">
        <v>12</v>
      </c>
      <c r="M39" s="220"/>
      <c r="N39" s="227" t="s">
        <v>168</v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s">
        <v>169</v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s">
        <v>170</v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>
        <v>11</v>
      </c>
      <c r="B44" s="220"/>
      <c r="C44" s="227" t="s">
        <v>171</v>
      </c>
      <c r="D44" s="227"/>
      <c r="E44" s="227"/>
      <c r="F44" s="227"/>
      <c r="G44" s="227"/>
      <c r="H44" s="227"/>
      <c r="I44" s="227"/>
      <c r="J44" s="227"/>
      <c r="K44" s="227"/>
      <c r="L44" s="236">
        <v>13</v>
      </c>
      <c r="M44" s="220"/>
      <c r="N44" s="227" t="s">
        <v>172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 t="s">
        <v>173</v>
      </c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s">
        <v>174</v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 t="s">
        <v>170</v>
      </c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72" t="str">
        <f>IF('Business Details'!C45="x","x"," ")</f>
        <v xml:space="preserve"> </v>
      </c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65" t="s">
        <v>186</v>
      </c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14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15</v>
      </c>
      <c r="M52" s="220"/>
      <c r="N52" s="227" t="s">
        <v>188</v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 t="s">
        <v>190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>
        <f>'Profit &amp; Loss Account'!B9</f>
        <v>0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>
        <f>'Profit &amp; Loss Account'!B38</f>
        <v>0</v>
      </c>
      <c r="P55" s="357"/>
      <c r="Q55" s="358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65" t="s">
        <v>191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</row>
    <row r="58" spans="1:23" s="254" customFormat="1" ht="16" customHeight="1" x14ac:dyDescent="0.15">
      <c r="A58" s="366" t="s">
        <v>192</v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s">
        <v>193</v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s">
        <v>194</v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s">
        <v>195</v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16</v>
      </c>
      <c r="B64" s="220"/>
      <c r="C64" s="227" t="s">
        <v>197</v>
      </c>
      <c r="D64" s="227"/>
      <c r="E64" s="227"/>
      <c r="F64" s="227"/>
      <c r="G64" s="227"/>
      <c r="H64" s="227"/>
      <c r="I64" s="227"/>
      <c r="J64" s="227"/>
      <c r="K64" s="227"/>
      <c r="L64" s="236">
        <v>31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56">
        <f>'Profit &amp; Loss Account'!B14+'Profit &amp; Loss Account'!B16</f>
        <v>0</v>
      </c>
      <c r="E66" s="357"/>
      <c r="F66" s="358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56"/>
      <c r="P66" s="357"/>
      <c r="Q66" s="358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17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32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56">
        <f>'Profit &amp; Loss Account'!B15</f>
        <v>0</v>
      </c>
      <c r="E70" s="357"/>
      <c r="F70" s="358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56"/>
      <c r="P70" s="357"/>
      <c r="Q70" s="358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18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33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56">
        <f>'Profit &amp; Loss Account'!B21</f>
        <v>0</v>
      </c>
      <c r="E74" s="357"/>
      <c r="F74" s="358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56"/>
      <c r="P74" s="357"/>
      <c r="Q74" s="358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19</v>
      </c>
      <c r="B76" s="220"/>
      <c r="C76" s="227" t="s">
        <v>200</v>
      </c>
      <c r="D76" s="227"/>
      <c r="E76" s="227"/>
      <c r="F76" s="227"/>
      <c r="G76" s="227"/>
      <c r="H76" s="227"/>
      <c r="I76" s="227"/>
      <c r="J76" s="227"/>
      <c r="K76" s="227"/>
      <c r="L76" s="236">
        <v>34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56">
        <f>'Profit &amp; Loss Account'!B25+'Profit &amp; Loss Account'!B26</f>
        <v>0</v>
      </c>
      <c r="E78" s="357"/>
      <c r="F78" s="358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56"/>
      <c r="P78" s="357"/>
      <c r="Q78" s="358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20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35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56">
        <f>'Profit &amp; Loss Account'!B22</f>
        <v>0</v>
      </c>
      <c r="E82" s="357"/>
      <c r="F82" s="358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56"/>
      <c r="P82" s="357"/>
      <c r="Q82" s="358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21</v>
      </c>
      <c r="B84" s="220"/>
      <c r="C84" s="227" t="s">
        <v>202</v>
      </c>
      <c r="D84" s="227"/>
      <c r="E84" s="227"/>
      <c r="F84" s="227"/>
      <c r="G84" s="227"/>
      <c r="H84" s="227"/>
      <c r="I84" s="227"/>
      <c r="J84" s="227"/>
      <c r="K84" s="227"/>
      <c r="L84" s="236">
        <v>36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56">
        <f>'Profit &amp; Loss Account'!B23</f>
        <v>0</v>
      </c>
      <c r="E86" s="357"/>
      <c r="F86" s="358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56"/>
      <c r="P86" s="357"/>
      <c r="Q86" s="358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22</v>
      </c>
      <c r="B88" s="220"/>
      <c r="C88" s="227" t="s">
        <v>203</v>
      </c>
      <c r="D88" s="227"/>
      <c r="E88" s="227"/>
      <c r="F88" s="227"/>
      <c r="G88" s="227"/>
      <c r="H88" s="227"/>
      <c r="I88" s="227"/>
      <c r="J88" s="227"/>
      <c r="K88" s="227"/>
      <c r="L88" s="236">
        <v>37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56">
        <f>'Profit &amp; Loss Account'!B24</f>
        <v>0</v>
      </c>
      <c r="E90" s="357"/>
      <c r="F90" s="358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56"/>
      <c r="P90" s="357"/>
      <c r="Q90" s="358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23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38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56">
        <f>'Profit &amp; Loss Account'!B27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/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24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39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56">
        <f>'Profit &amp; Loss Account'!B30</f>
        <v>0</v>
      </c>
      <c r="E98" s="357"/>
      <c r="F98" s="358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56"/>
      <c r="P98" s="357"/>
      <c r="Q98" s="358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25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40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56">
        <f>'Profit &amp; Loss Account'!B31</f>
        <v>0</v>
      </c>
      <c r="E102" s="357"/>
      <c r="F102" s="358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56"/>
      <c r="P102" s="357"/>
      <c r="Q102" s="358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26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41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56">
        <f>'Profit &amp; Loss Account'!B29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56"/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27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42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56">
        <f>'Profit &amp; Loss Account'!B28</f>
        <v>0</v>
      </c>
      <c r="E110" s="357"/>
      <c r="F110" s="358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56"/>
      <c r="P110" s="357"/>
      <c r="Q110" s="358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28</v>
      </c>
      <c r="B112" s="220"/>
      <c r="C112" s="227" t="s">
        <v>209</v>
      </c>
      <c r="D112" s="227"/>
      <c r="E112" s="227"/>
      <c r="F112" s="227"/>
      <c r="G112" s="227"/>
      <c r="H112" s="227"/>
      <c r="I112" s="227"/>
      <c r="J112" s="227"/>
      <c r="K112" s="227"/>
      <c r="L112" s="236">
        <v>43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>
        <f>'Profit &amp; Loss Account'!B33+'Profit &amp; Loss Account'!B34</f>
        <v>0</v>
      </c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56">
        <f>'Profit &amp; Loss Account'!B34</f>
        <v>0</v>
      </c>
      <c r="P114" s="357"/>
      <c r="Q114" s="358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29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44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56">
        <f>'Profit &amp; Loss Account'!B32</f>
        <v>0</v>
      </c>
      <c r="E118" s="357"/>
      <c r="F118" s="358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56"/>
      <c r="P118" s="357"/>
      <c r="Q118" s="358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30</v>
      </c>
      <c r="B120" s="220"/>
      <c r="C120" s="227" t="s">
        <v>211</v>
      </c>
      <c r="D120" s="227"/>
      <c r="E120" s="227"/>
      <c r="F120" s="227"/>
      <c r="G120" s="227"/>
      <c r="H120" s="227"/>
      <c r="I120" s="227"/>
      <c r="J120" s="227"/>
      <c r="K120" s="227"/>
      <c r="L120" s="236">
        <v>45</v>
      </c>
      <c r="M120" s="220"/>
      <c r="N120" s="227" t="s">
        <v>212</v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56">
        <f>'Profit &amp; Loss Account'!B17+'Profit &amp; Loss Account'!B35</f>
        <v>0</v>
      </c>
      <c r="E122" s="357"/>
      <c r="F122" s="358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56">
        <f>'Profit &amp; Loss Account'!B34</f>
        <v>0</v>
      </c>
      <c r="P122" s="357"/>
      <c r="Q122" s="358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67" t="s">
        <v>213</v>
      </c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46</v>
      </c>
      <c r="B126" s="220"/>
      <c r="C126" s="227" t="s">
        <v>214</v>
      </c>
      <c r="D126" s="227"/>
      <c r="E126" s="227"/>
      <c r="F126" s="227"/>
      <c r="G126" s="227"/>
      <c r="H126" s="227"/>
      <c r="I126" s="227"/>
      <c r="J126" s="227"/>
      <c r="K126" s="227"/>
      <c r="L126" s="236">
        <v>47</v>
      </c>
      <c r="M126" s="220"/>
      <c r="N126" s="227" t="s">
        <v>215</v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s">
        <v>216</v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s">
        <v>217</v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56">
        <f>IF((D55+O55-D122)&gt;=0,D55+O55-D122,0)</f>
        <v>0</v>
      </c>
      <c r="E129" s="357"/>
      <c r="F129" s="358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56">
        <f>IF((D55+O55-D122)&lt;0,D122-D55-O55,0)</f>
        <v>0</v>
      </c>
      <c r="P129" s="357"/>
      <c r="Q129" s="358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65" t="s">
        <v>218</v>
      </c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</row>
    <row r="132" spans="1:23" ht="16" customHeight="1" x14ac:dyDescent="0.15">
      <c r="A132" s="366" t="s">
        <v>219</v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</row>
    <row r="133" spans="1:23" ht="16" customHeight="1" x14ac:dyDescent="0.15">
      <c r="A133" s="366" t="s">
        <v>352</v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</row>
    <row r="134" spans="1:23" ht="16" customHeight="1" x14ac:dyDescent="0.15">
      <c r="A134" s="366" t="s">
        <v>220</v>
      </c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48</v>
      </c>
      <c r="B136" s="220"/>
      <c r="C136" s="288" t="s">
        <v>349</v>
      </c>
      <c r="D136" s="227"/>
      <c r="E136" s="227"/>
      <c r="F136" s="227"/>
      <c r="G136" s="227"/>
      <c r="H136" s="379">
        <f>Admin!G4</f>
        <v>1</v>
      </c>
      <c r="I136" s="380"/>
      <c r="J136" s="227"/>
      <c r="K136" s="227"/>
      <c r="L136" s="236">
        <v>54</v>
      </c>
      <c r="M136" s="220"/>
      <c r="N136" s="227" t="s">
        <v>223</v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 t="s">
        <v>353</v>
      </c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56">
        <f>IF([1]Schedule!$Q$1&gt;0,[1]Schedule!$Q$1,0)</f>
        <v>0</v>
      </c>
      <c r="E139" s="357"/>
      <c r="F139" s="358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56">
        <f>IF(([1]Schedule!$R$1+[1]Schedule!$S$1)&lt;1000,[1]Schedule!$S$1,0)</f>
        <v>0</v>
      </c>
      <c r="P139" s="357"/>
      <c r="Q139" s="358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49</v>
      </c>
      <c r="B141" s="220"/>
      <c r="C141" s="227" t="s">
        <v>221</v>
      </c>
      <c r="D141" s="227"/>
      <c r="E141" s="227"/>
      <c r="F141" s="227"/>
      <c r="G141" s="379">
        <f>Admin!G5</f>
        <v>0.18</v>
      </c>
      <c r="H141" s="381"/>
      <c r="I141" s="227" t="s">
        <v>222</v>
      </c>
      <c r="J141" s="227"/>
      <c r="K141" s="227"/>
      <c r="L141" s="236">
        <v>55</v>
      </c>
      <c r="M141" s="220"/>
      <c r="N141" s="227" t="s">
        <v>225</v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s">
        <v>224</v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 t="s">
        <v>226</v>
      </c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56">
        <f>[1]Schedule!$R$1-D152</f>
        <v>0</v>
      </c>
      <c r="E144" s="357"/>
      <c r="F144" s="358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56">
        <f>[1]Schedule!$Y$1</f>
        <v>0</v>
      </c>
      <c r="P144" s="357"/>
      <c r="Q144" s="358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50</v>
      </c>
      <c r="B146" s="220"/>
      <c r="C146" s="288" t="s">
        <v>354</v>
      </c>
      <c r="D146" s="227"/>
      <c r="E146" s="227"/>
      <c r="F146" s="227"/>
      <c r="G146" s="227"/>
      <c r="H146" s="379">
        <v>0.1</v>
      </c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56"/>
      <c r="E147" s="357"/>
      <c r="F147" s="358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s">
        <v>355</v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51</v>
      </c>
      <c r="B149" s="220"/>
      <c r="C149" s="227" t="s">
        <v>227</v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56">
        <f>D139+D144+D147+D152+D156+D160+O139+O144</f>
        <v>0</v>
      </c>
      <c r="P149" s="357"/>
      <c r="Q149" s="358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 t="s">
        <v>228</v>
      </c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s">
        <v>230</v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56">
        <f>SUM([1]Schedule!$R$38:$R$42)+SUM([1]Schedule!$R$91:$R$95)</f>
        <v>0</v>
      </c>
      <c r="E152" s="331"/>
      <c r="F152" s="332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 t="s">
        <v>231</v>
      </c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</v>
      </c>
      <c r="B154" s="220"/>
      <c r="C154" s="227" t="s">
        <v>229</v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56"/>
      <c r="P154" s="357"/>
      <c r="Q154" s="358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56"/>
      <c r="E156" s="331"/>
      <c r="F156" s="332"/>
      <c r="G156" s="218" t="s">
        <v>178</v>
      </c>
      <c r="H156" s="219">
        <v>0</v>
      </c>
      <c r="I156" s="219">
        <v>0</v>
      </c>
      <c r="J156" s="220"/>
      <c r="K156" s="220"/>
      <c r="L156" s="236">
        <v>58</v>
      </c>
      <c r="M156" s="220"/>
      <c r="N156" s="227" t="s">
        <v>356</v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s">
        <v>232</v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s">
        <v>357</v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 t="s">
        <v>358</v>
      </c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s">
        <v>359</v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56"/>
      <c r="E160" s="357"/>
      <c r="F160" s="358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56">
        <f>[1]Schedule!$Z$1</f>
        <v>0</v>
      </c>
      <c r="P160" s="357"/>
      <c r="Q160" s="358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65" t="s">
        <v>233</v>
      </c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</row>
    <row r="163" spans="1:23" ht="16" customHeight="1" x14ac:dyDescent="0.15">
      <c r="A163" s="366" t="s">
        <v>234</v>
      </c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</row>
    <row r="164" spans="1:23" ht="16" customHeight="1" x14ac:dyDescent="0.15">
      <c r="A164" s="366" t="s">
        <v>360</v>
      </c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59</v>
      </c>
      <c r="B166" s="220"/>
      <c r="C166" s="227" t="s">
        <v>361</v>
      </c>
      <c r="D166" s="227"/>
      <c r="E166" s="227"/>
      <c r="F166" s="227"/>
      <c r="G166" s="227"/>
      <c r="H166" s="227"/>
      <c r="I166" s="227"/>
      <c r="J166" s="227"/>
      <c r="K166" s="227"/>
      <c r="L166" s="236">
        <v>62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 t="s">
        <v>236</v>
      </c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s">
        <v>362</v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56">
        <f>'Business Details'!O50</f>
        <v>0</v>
      </c>
      <c r="E169" s="357"/>
      <c r="F169" s="358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56">
        <f>O149+D179</f>
        <v>0</v>
      </c>
      <c r="P169" s="357"/>
      <c r="Q169" s="358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60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63</v>
      </c>
      <c r="M171" s="220"/>
      <c r="N171" s="227" t="s">
        <v>363</v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s">
        <v>364</v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s">
        <v>365</v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56">
        <f>O122+O154+O160+D169</f>
        <v>0</v>
      </c>
      <c r="E174" s="357"/>
      <c r="F174" s="358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56">
        <f>IF((D129+D174-O169)&gt;0,(D129+D174-O169),IF((-O129+D174-O169)&gt;0,(-O129+D174-O169),0))</f>
        <v>0</v>
      </c>
      <c r="P174" s="357"/>
      <c r="Q174" s="358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61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64</v>
      </c>
      <c r="M176" s="220"/>
      <c r="N176" s="227" t="s">
        <v>366</v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s">
        <v>367</v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56"/>
      <c r="E179" s="357"/>
      <c r="F179" s="358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56">
        <f>IF(O174&gt;0,0,IF((D129+D174-O169)&lt;0,-(D129+D174-O169),IF((-O129+D174-O169)&lt;0,-(-O129+D174-O169),0)))</f>
        <v>0</v>
      </c>
      <c r="P179" s="357"/>
      <c r="Q179" s="358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65" t="s">
        <v>240</v>
      </c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</row>
    <row r="182" spans="1:23" ht="16" customHeight="1" x14ac:dyDescent="0.15">
      <c r="A182" s="366" t="s">
        <v>241</v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</row>
    <row r="183" spans="1:23" ht="16" customHeight="1" x14ac:dyDescent="0.15">
      <c r="A183" s="366" t="s">
        <v>242</v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</row>
    <row r="184" spans="1:23" ht="15.75" customHeight="1" x14ac:dyDescent="0.15">
      <c r="A184" s="387" t="s">
        <v>243</v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>
        <v>65</v>
      </c>
      <c r="B186" s="220"/>
      <c r="C186" s="227" t="s">
        <v>244</v>
      </c>
      <c r="D186" s="227"/>
      <c r="E186" s="227"/>
      <c r="F186" s="227"/>
      <c r="G186" s="227"/>
      <c r="H186" s="227"/>
      <c r="I186" s="227"/>
      <c r="J186" s="227"/>
      <c r="K186" s="227"/>
      <c r="L186" s="236">
        <v>71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382"/>
      <c r="D187" s="383"/>
      <c r="E187" s="383"/>
      <c r="F187" s="384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61"/>
      <c r="D188" s="385"/>
      <c r="E188" s="385"/>
      <c r="F188" s="385"/>
      <c r="G188" s="218"/>
      <c r="H188" s="253"/>
      <c r="I188" s="253"/>
      <c r="J188" s="220"/>
      <c r="K188" s="220"/>
      <c r="L188" s="227"/>
      <c r="M188" s="220"/>
      <c r="N188" s="248" t="s">
        <v>247</v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>
        <v>66</v>
      </c>
      <c r="B189" s="220"/>
      <c r="C189" s="227" t="s">
        <v>248</v>
      </c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382"/>
      <c r="D190" s="383"/>
      <c r="E190" s="383"/>
      <c r="F190" s="384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75"/>
      <c r="Q190" s="386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67</v>
      </c>
      <c r="B192" s="220"/>
      <c r="C192" s="227" t="s">
        <v>251</v>
      </c>
      <c r="D192" s="259"/>
      <c r="E192" s="259"/>
      <c r="F192" s="259"/>
      <c r="G192" s="218"/>
      <c r="H192" s="253"/>
      <c r="I192" s="253"/>
      <c r="J192" s="220"/>
      <c r="K192" s="220"/>
      <c r="L192" s="236">
        <v>72</v>
      </c>
      <c r="M192" s="220"/>
      <c r="N192" s="227" t="s">
        <v>252</v>
      </c>
      <c r="O192" s="220"/>
      <c r="P192" s="220"/>
      <c r="Q192" s="290" t="str">
        <f>Admin!G2</f>
        <v>2025-26</v>
      </c>
      <c r="R192" s="227" t="s">
        <v>368</v>
      </c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s">
        <v>253</v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s">
        <v>369</v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s">
        <v>254</v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56">
        <f>O174</f>
        <v>0</v>
      </c>
      <c r="P194" s="357"/>
      <c r="Q194" s="358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 t="s">
        <v>255</v>
      </c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 t="s">
        <v>256</v>
      </c>
      <c r="D196" s="227"/>
      <c r="E196" s="227"/>
      <c r="F196" s="227"/>
      <c r="G196" s="227"/>
      <c r="H196" s="227"/>
      <c r="I196" s="227"/>
      <c r="J196" s="227"/>
      <c r="K196" s="227"/>
      <c r="L196" s="236">
        <v>73</v>
      </c>
      <c r="M196" s="220"/>
      <c r="N196" s="227" t="s">
        <v>257</v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250</v>
      </c>
      <c r="E197" s="375"/>
      <c r="F197" s="386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s">
        <v>370</v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 t="s">
        <v>371</v>
      </c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>
        <v>68</v>
      </c>
      <c r="B199" s="220"/>
      <c r="C199" s="227" t="s">
        <v>372</v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56">
        <f>IF(D179&gt;0,0,IF((O194+O204)&gt;'Business Details'!D50,'Business Details'!D50,(O194+O204)))</f>
        <v>0</v>
      </c>
      <c r="P199" s="357"/>
      <c r="Q199" s="358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17" t="s">
        <v>51</v>
      </c>
      <c r="D201" s="356"/>
      <c r="E201" s="357"/>
      <c r="F201" s="358"/>
      <c r="G201" s="218" t="s">
        <v>178</v>
      </c>
      <c r="H201" s="219">
        <v>0</v>
      </c>
      <c r="I201" s="219">
        <v>0</v>
      </c>
      <c r="J201" s="220"/>
      <c r="K201" s="220"/>
      <c r="L201" s="236">
        <v>74</v>
      </c>
      <c r="M201" s="220"/>
      <c r="N201" s="227" t="s">
        <v>258</v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s">
        <v>373</v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>
        <v>69</v>
      </c>
      <c r="B203" s="220"/>
      <c r="C203" s="227" t="s">
        <v>374</v>
      </c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56">
        <f>'Profit &amp; Loss Account'!B11</f>
        <v>0</v>
      </c>
      <c r="P204" s="357"/>
      <c r="Q204" s="358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17" t="s">
        <v>51</v>
      </c>
      <c r="D206" s="356"/>
      <c r="E206" s="357"/>
      <c r="F206" s="358"/>
      <c r="G206" s="218" t="s">
        <v>178</v>
      </c>
      <c r="H206" s="219">
        <v>0</v>
      </c>
      <c r="I206" s="219">
        <v>0</v>
      </c>
      <c r="J206" s="220"/>
      <c r="K206" s="220"/>
      <c r="L206" s="236">
        <v>75</v>
      </c>
      <c r="M206" s="220"/>
      <c r="N206" s="227" t="s">
        <v>375</v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s">
        <v>376</v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70</v>
      </c>
      <c r="B208" s="220"/>
      <c r="C208" s="227" t="s">
        <v>259</v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 t="s">
        <v>377</v>
      </c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 t="s">
        <v>378</v>
      </c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56"/>
      <c r="E210" s="357"/>
      <c r="F210" s="358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56">
        <f>O194-O199+O204</f>
        <v>0</v>
      </c>
      <c r="P210" s="357"/>
      <c r="Q210" s="358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68" t="s">
        <v>260</v>
      </c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</row>
    <row r="213" spans="1:23" ht="16" customHeight="1" x14ac:dyDescent="0.15">
      <c r="A213" s="366" t="s">
        <v>261</v>
      </c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</row>
    <row r="214" spans="1:23" ht="16" customHeight="1" x14ac:dyDescent="0.15">
      <c r="A214" s="366" t="s">
        <v>262</v>
      </c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76</v>
      </c>
      <c r="B216" s="220"/>
      <c r="C216" s="227" t="s">
        <v>263</v>
      </c>
      <c r="D216" s="227"/>
      <c r="E216" s="227"/>
      <c r="F216" s="289" t="str">
        <f>Admin!G2</f>
        <v>2025-26</v>
      </c>
      <c r="G216" s="227" t="s">
        <v>379</v>
      </c>
      <c r="H216" s="227"/>
      <c r="I216" s="227"/>
      <c r="J216" s="220"/>
      <c r="K216" s="227"/>
      <c r="L216" s="236">
        <v>78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 t="s">
        <v>380</v>
      </c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56">
        <f>O179+E197-D201+D210+P190</f>
        <v>0</v>
      </c>
      <c r="E219" s="357"/>
      <c r="F219" s="358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56"/>
      <c r="P219" s="357"/>
      <c r="Q219" s="358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77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79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69" t="str">
        <f>Admin!G2</f>
        <v>2025-26</v>
      </c>
      <c r="E222" s="361"/>
      <c r="F222" s="362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56"/>
      <c r="E224" s="357"/>
      <c r="F224" s="358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56">
        <f>D219</f>
        <v>0</v>
      </c>
      <c r="P224" s="357"/>
      <c r="Q224" s="358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8" t="s">
        <v>270</v>
      </c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80</v>
      </c>
      <c r="B228" s="220"/>
      <c r="C228" s="227" t="s">
        <v>271</v>
      </c>
      <c r="D228" s="227"/>
      <c r="E228" s="227"/>
      <c r="F228" s="227"/>
      <c r="G228" s="227"/>
      <c r="H228" s="227"/>
      <c r="I228" s="227"/>
      <c r="J228" s="227"/>
      <c r="K228" s="227"/>
      <c r="L228" s="236">
        <v>81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s">
        <v>273</v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56">
        <f>[2]Mar!$X$1</f>
        <v>0</v>
      </c>
      <c r="E231" s="357"/>
      <c r="F231" s="358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56"/>
      <c r="P231" s="357"/>
      <c r="Q231" s="358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65" t="s">
        <v>381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</row>
    <row r="234" spans="1:23" ht="16" customHeight="1" x14ac:dyDescent="0.15">
      <c r="A234" s="366" t="s">
        <v>274</v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</row>
    <row r="235" spans="1:23" ht="16" customHeight="1" x14ac:dyDescent="0.15">
      <c r="A235" s="366" t="s">
        <v>382</v>
      </c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82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90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56"/>
      <c r="E241" s="357"/>
      <c r="F241" s="358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56"/>
      <c r="P241" s="357"/>
      <c r="Q241" s="358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83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91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56"/>
      <c r="E245" s="357"/>
      <c r="F245" s="358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56"/>
      <c r="P245" s="357"/>
      <c r="Q245" s="358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84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92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56"/>
      <c r="E249" s="357"/>
      <c r="F249" s="358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56"/>
      <c r="P249" s="357"/>
      <c r="Q249" s="358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85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56"/>
      <c r="E253" s="357"/>
      <c r="F253" s="358"/>
      <c r="G253" s="218" t="s">
        <v>178</v>
      </c>
      <c r="H253" s="219">
        <v>0</v>
      </c>
      <c r="I253" s="219">
        <v>0</v>
      </c>
      <c r="J253" s="220"/>
      <c r="K253" s="220"/>
      <c r="L253" s="236">
        <v>93</v>
      </c>
      <c r="M253" s="220"/>
      <c r="N253" s="227" t="s">
        <v>285</v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86</v>
      </c>
      <c r="B255" s="220"/>
      <c r="C255" s="227" t="s">
        <v>286</v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56"/>
      <c r="Q255" s="357"/>
      <c r="R255" s="358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56"/>
      <c r="E257" s="357"/>
      <c r="F257" s="358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87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94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56"/>
      <c r="E261" s="357"/>
      <c r="F261" s="358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56"/>
      <c r="Q261" s="357"/>
      <c r="R261" s="358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88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95</v>
      </c>
      <c r="M263" s="220"/>
      <c r="N263" s="227" t="s">
        <v>291</v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56"/>
      <c r="E265" s="357"/>
      <c r="F265" s="358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56"/>
      <c r="Q265" s="357"/>
      <c r="R265" s="358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89</v>
      </c>
      <c r="B267" s="220"/>
      <c r="C267" s="227" t="s">
        <v>292</v>
      </c>
      <c r="D267" s="227"/>
      <c r="E267" s="227"/>
      <c r="F267" s="227"/>
      <c r="G267" s="227"/>
      <c r="H267" s="227"/>
      <c r="I267" s="227"/>
      <c r="J267" s="227"/>
      <c r="K267" s="227"/>
      <c r="L267" s="236">
        <v>96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56"/>
      <c r="E269" s="357"/>
      <c r="F269" s="358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56"/>
      <c r="P269" s="357"/>
      <c r="Q269" s="358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97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56"/>
      <c r="P273" s="357"/>
      <c r="Q273" s="358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98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56"/>
      <c r="Q277" s="357"/>
      <c r="R277" s="358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68" t="s">
        <v>295</v>
      </c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</row>
    <row r="280" spans="1:23" ht="16" customHeight="1" x14ac:dyDescent="0.15">
      <c r="A280" s="366" t="s">
        <v>296</v>
      </c>
      <c r="B280" s="399"/>
      <c r="C280" s="399"/>
      <c r="D280" s="399"/>
      <c r="E280" s="399"/>
      <c r="F280" s="399"/>
      <c r="G280" s="399"/>
      <c r="H280" s="399"/>
      <c r="I280" s="399"/>
      <c r="J280" s="285">
        <f>Admin!N4</f>
        <v>12570</v>
      </c>
      <c r="K280" s="366" t="s">
        <v>297</v>
      </c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</row>
    <row r="281" spans="1:23" ht="16" customHeight="1" x14ac:dyDescent="0.15">
      <c r="A281" s="398" t="s">
        <v>383</v>
      </c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99</v>
      </c>
      <c r="B283" s="220"/>
      <c r="C283" s="227" t="s">
        <v>298</v>
      </c>
      <c r="D283" s="220"/>
      <c r="E283" s="220"/>
      <c r="F283" s="220"/>
      <c r="G283" s="220"/>
      <c r="H283" s="220"/>
      <c r="I283" s="220"/>
      <c r="J283" s="220"/>
      <c r="K283" s="220"/>
      <c r="L283" s="236">
        <v>101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s">
        <v>384</v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56"/>
      <c r="P286" s="357"/>
      <c r="Q286" s="358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100</v>
      </c>
      <c r="B288" s="220"/>
      <c r="C288" s="227" t="s">
        <v>301</v>
      </c>
      <c r="D288" s="220"/>
      <c r="E288" s="220"/>
      <c r="F288" s="220"/>
      <c r="G288" s="370" t="str">
        <f>Admin!G2</f>
        <v>2025-26</v>
      </c>
      <c r="H288" s="371"/>
      <c r="I288" s="371"/>
      <c r="J288" s="220" t="s">
        <v>302</v>
      </c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s">
        <v>385</v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 t="s">
        <v>303</v>
      </c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65" t="s">
        <v>304</v>
      </c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102</v>
      </c>
      <c r="B296" s="220"/>
      <c r="C296" s="227" t="s">
        <v>305</v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89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1"/>
      <c r="W298" s="243"/>
    </row>
    <row r="299" spans="1:23" x14ac:dyDescent="0.15">
      <c r="A299" s="240"/>
      <c r="B299" s="220"/>
      <c r="C299" s="392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4"/>
      <c r="W299" s="243"/>
    </row>
    <row r="300" spans="1:23" x14ac:dyDescent="0.15">
      <c r="A300" s="240"/>
      <c r="B300" s="220"/>
      <c r="C300" s="392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4"/>
      <c r="W300" s="243"/>
    </row>
    <row r="301" spans="1:23" x14ac:dyDescent="0.15">
      <c r="A301" s="240"/>
      <c r="B301" s="220"/>
      <c r="C301" s="392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4"/>
      <c r="W301" s="243"/>
    </row>
    <row r="302" spans="1:23" x14ac:dyDescent="0.15">
      <c r="A302" s="240"/>
      <c r="B302" s="220"/>
      <c r="C302" s="392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4"/>
      <c r="W302" s="243"/>
    </row>
    <row r="303" spans="1:23" x14ac:dyDescent="0.15">
      <c r="A303" s="240"/>
      <c r="B303" s="220"/>
      <c r="C303" s="392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4"/>
      <c r="W303" s="243"/>
    </row>
    <row r="304" spans="1:23" x14ac:dyDescent="0.15">
      <c r="A304" s="240"/>
      <c r="B304" s="220"/>
      <c r="C304" s="392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4"/>
      <c r="W304" s="243"/>
    </row>
    <row r="305" spans="1:23" x14ac:dyDescent="0.15">
      <c r="A305" s="240"/>
      <c r="B305" s="220"/>
      <c r="C305" s="392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4"/>
      <c r="W305" s="243"/>
    </row>
    <row r="306" spans="1:23" x14ac:dyDescent="0.15">
      <c r="A306" s="240"/>
      <c r="B306" s="220"/>
      <c r="C306" s="392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4"/>
      <c r="W306" s="243"/>
    </row>
    <row r="307" spans="1:23" x14ac:dyDescent="0.15">
      <c r="A307" s="240"/>
      <c r="B307" s="220"/>
      <c r="C307" s="392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4"/>
      <c r="W307" s="243"/>
    </row>
    <row r="308" spans="1:23" x14ac:dyDescent="0.15">
      <c r="A308" s="240"/>
      <c r="B308" s="220"/>
      <c r="C308" s="392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4"/>
      <c r="W308" s="243"/>
    </row>
    <row r="309" spans="1:23" x14ac:dyDescent="0.15">
      <c r="A309" s="240"/>
      <c r="B309" s="220"/>
      <c r="C309" s="392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4"/>
      <c r="W309" s="243"/>
    </row>
    <row r="310" spans="1:23" x14ac:dyDescent="0.15">
      <c r="A310" s="240"/>
      <c r="B310" s="220"/>
      <c r="C310" s="392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4"/>
      <c r="W310" s="243"/>
    </row>
    <row r="311" spans="1:23" x14ac:dyDescent="0.15">
      <c r="A311" s="240"/>
      <c r="B311" s="220"/>
      <c r="C311" s="392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4"/>
      <c r="W311" s="243"/>
    </row>
    <row r="312" spans="1:23" x14ac:dyDescent="0.15">
      <c r="A312" s="240"/>
      <c r="B312" s="220"/>
      <c r="C312" s="392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4"/>
      <c r="W312" s="243"/>
    </row>
    <row r="313" spans="1:23" x14ac:dyDescent="0.15">
      <c r="A313" s="240"/>
      <c r="B313" s="220"/>
      <c r="C313" s="392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4"/>
      <c r="W313" s="243"/>
    </row>
    <row r="314" spans="1:23" x14ac:dyDescent="0.15">
      <c r="A314" s="240"/>
      <c r="B314" s="220"/>
      <c r="C314" s="392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4"/>
      <c r="W314" s="243"/>
    </row>
    <row r="315" spans="1:23" x14ac:dyDescent="0.15">
      <c r="A315" s="240"/>
      <c r="B315" s="220"/>
      <c r="C315" s="392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4"/>
      <c r="W315" s="243"/>
    </row>
    <row r="316" spans="1:23" x14ac:dyDescent="0.15">
      <c r="A316" s="240"/>
      <c r="B316" s="220"/>
      <c r="C316" s="392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4"/>
      <c r="W316" s="243"/>
    </row>
    <row r="317" spans="1:23" x14ac:dyDescent="0.15">
      <c r="A317" s="240"/>
      <c r="B317" s="220"/>
      <c r="C317" s="392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4"/>
      <c r="W317" s="243"/>
    </row>
    <row r="318" spans="1:23" x14ac:dyDescent="0.15">
      <c r="A318" s="240"/>
      <c r="B318" s="220"/>
      <c r="C318" s="392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4"/>
      <c r="W318" s="243"/>
    </row>
    <row r="319" spans="1:23" x14ac:dyDescent="0.15">
      <c r="A319" s="240"/>
      <c r="B319" s="220"/>
      <c r="C319" s="392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4"/>
      <c r="W319" s="243"/>
    </row>
    <row r="320" spans="1:23" x14ac:dyDescent="0.15">
      <c r="A320" s="240"/>
      <c r="B320" s="220"/>
      <c r="C320" s="392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4"/>
      <c r="W320" s="243"/>
    </row>
    <row r="321" spans="1:23" x14ac:dyDescent="0.15">
      <c r="A321" s="240"/>
      <c r="B321" s="220"/>
      <c r="C321" s="392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4"/>
      <c r="W321" s="243"/>
    </row>
    <row r="322" spans="1:23" x14ac:dyDescent="0.15">
      <c r="A322" s="240"/>
      <c r="B322" s="220"/>
      <c r="C322" s="392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4"/>
      <c r="W322" s="243"/>
    </row>
    <row r="323" spans="1:23" x14ac:dyDescent="0.15">
      <c r="A323" s="240"/>
      <c r="B323" s="220"/>
      <c r="C323" s="395"/>
      <c r="D323" s="396"/>
      <c r="E323" s="396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7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45777</v>
      </c>
      <c r="D2" s="400">
        <f>Admin!B6</f>
        <v>45808</v>
      </c>
      <c r="E2" s="400">
        <f>Admin!B7</f>
        <v>45838</v>
      </c>
      <c r="F2" s="401">
        <f>Admin!B8</f>
        <v>45869</v>
      </c>
      <c r="G2" s="400">
        <f>Admin!B9</f>
        <v>45900</v>
      </c>
      <c r="H2" s="400">
        <f>Admin!B10</f>
        <v>45930</v>
      </c>
      <c r="I2" s="401">
        <f>Admin!B11</f>
        <v>45961</v>
      </c>
      <c r="J2" s="400">
        <f>Admin!B12</f>
        <v>45991</v>
      </c>
      <c r="K2" s="400">
        <f>Admin!B13</f>
        <v>46022</v>
      </c>
      <c r="L2" s="401">
        <f>Admin!B14</f>
        <v>46053</v>
      </c>
      <c r="M2" s="400">
        <f>Admin!B15</f>
        <v>46081</v>
      </c>
      <c r="N2" s="400">
        <f>Admin!B16</f>
        <v>46112</v>
      </c>
      <c r="O2" s="24"/>
    </row>
    <row r="3" spans="1:15" ht="12" customHeight="1" x14ac:dyDescent="0.15">
      <c r="A3" s="404"/>
      <c r="B3" s="158">
        <f>Admin!B$17</f>
        <v>46117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</f>
        <v>0</v>
      </c>
      <c r="D27" s="75">
        <f>[3]May!$Y$1</f>
        <v>0</v>
      </c>
      <c r="E27" s="78">
        <f>[3]Jun!$Y$1</f>
        <v>0</v>
      </c>
      <c r="F27" s="75">
        <f>[3]Jul!$Y$1</f>
        <v>0</v>
      </c>
      <c r="G27" s="75">
        <f>[3]Aug!$Y$1</f>
        <v>0</v>
      </c>
      <c r="H27" s="78">
        <f>[3]Sep!$Y$1</f>
        <v>0</v>
      </c>
      <c r="I27" s="75">
        <f>[3]Oct!$Y$1</f>
        <v>0</v>
      </c>
      <c r="J27" s="75">
        <f>[3]Nov!$Y$1</f>
        <v>0</v>
      </c>
      <c r="K27" s="78">
        <f>[3]Dec!$Y$1</f>
        <v>0</v>
      </c>
      <c r="L27" s="75">
        <f>[3]Jan!$Y$1</f>
        <v>0</v>
      </c>
      <c r="M27" s="75">
        <f>[3]Feb!$Y$1</f>
        <v>0</v>
      </c>
      <c r="N27" s="75">
        <f>[3]Mar!$Y$1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434</v>
      </c>
      <c r="C2" s="405" t="s">
        <v>433</v>
      </c>
      <c r="D2" s="405" t="s">
        <v>432</v>
      </c>
      <c r="E2" s="405" t="s">
        <v>431</v>
      </c>
      <c r="F2" s="405" t="s">
        <v>430</v>
      </c>
      <c r="G2" s="405" t="s">
        <v>429</v>
      </c>
      <c r="H2" s="405" t="s">
        <v>428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427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426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420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425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418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416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415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414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424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423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413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408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422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411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407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419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412</v>
      </c>
      <c r="C25" s="299">
        <v>0</v>
      </c>
      <c r="D25" s="299">
        <v>0</v>
      </c>
      <c r="E25" s="299">
        <v>0</v>
      </c>
      <c r="F25" s="299">
        <v>0</v>
      </c>
      <c r="G25" s="299">
        <f>SUM(C25:F25)</f>
        <v>0</v>
      </c>
      <c r="H25" s="298" t="s">
        <v>406</v>
      </c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421</v>
      </c>
      <c r="C29" s="302">
        <f>SUM(C7,C12,C13,C14,C15,C16,C17,C18,C19,C20,C21,C22,C24,C25,C26)</f>
        <v>0</v>
      </c>
      <c r="D29" s="302">
        <f>SUM(D7,D12,D13,D14,D15,D16,D17,D18,D19,D20,D21,D22,D24,D25,D26)</f>
        <v>0</v>
      </c>
      <c r="E29" s="302">
        <f>SUM(E7,E12,E13,E14,E15,E16,E17,E18,E19,E20,E21,E22,E24,E25,E26)</f>
        <v>0</v>
      </c>
      <c r="F29" s="302">
        <f>SUM(F7,F12,F13,F14,F15,F16,F17,F18,F19,F20,F21,F22,F24,F25,F26)</f>
        <v>0</v>
      </c>
      <c r="G29" s="302">
        <f>SUM(G7,G12,G13,G14,G15,G16,G17,G18,G19,G20,G21,G22,G24,G25,G26)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420</v>
      </c>
      <c r="C36" s="299">
        <v>0</v>
      </c>
      <c r="D36" s="299">
        <v>0</v>
      </c>
      <c r="E36" s="299">
        <v>0</v>
      </c>
      <c r="F36" s="299">
        <v>0</v>
      </c>
      <c r="G36" s="299">
        <f t="shared" ref="G36:G50" si="1">SUM(C36:F36)</f>
        <v>0</v>
      </c>
      <c r="H36" s="298" t="s">
        <v>406</v>
      </c>
      <c r="I36" s="298"/>
    </row>
    <row r="37" spans="1:9" ht="14" customHeight="1" x14ac:dyDescent="0.15">
      <c r="A37" s="298"/>
      <c r="B37" s="298" t="s">
        <v>419</v>
      </c>
      <c r="C37" s="299">
        <v>0</v>
      </c>
      <c r="D37" s="299">
        <v>0</v>
      </c>
      <c r="E37" s="299">
        <v>0</v>
      </c>
      <c r="F37" s="299">
        <v>0</v>
      </c>
      <c r="G37" s="299">
        <f t="shared" si="1"/>
        <v>0</v>
      </c>
      <c r="H37" s="298" t="s">
        <v>406</v>
      </c>
      <c r="I37" s="298"/>
    </row>
    <row r="38" spans="1:9" x14ac:dyDescent="0.15">
      <c r="A38" s="298"/>
      <c r="B38" s="298" t="s">
        <v>418</v>
      </c>
      <c r="C38" s="299">
        <v>0</v>
      </c>
      <c r="D38" s="299">
        <v>0</v>
      </c>
      <c r="E38" s="299">
        <v>0</v>
      </c>
      <c r="F38" s="299">
        <v>0</v>
      </c>
      <c r="G38" s="299">
        <f t="shared" si="1"/>
        <v>0</v>
      </c>
      <c r="H38" s="298" t="s">
        <v>406</v>
      </c>
      <c r="I38" s="298"/>
    </row>
    <row r="39" spans="1:9" ht="14" customHeight="1" x14ac:dyDescent="0.15">
      <c r="A39" s="298"/>
      <c r="B39" s="298" t="s">
        <v>417</v>
      </c>
      <c r="C39" s="299">
        <v>0</v>
      </c>
      <c r="D39" s="299">
        <v>0</v>
      </c>
      <c r="E39" s="299">
        <v>0</v>
      </c>
      <c r="F39" s="299">
        <v>0</v>
      </c>
      <c r="G39" s="299">
        <f t="shared" si="1"/>
        <v>0</v>
      </c>
      <c r="H39" s="298" t="s">
        <v>406</v>
      </c>
      <c r="I39" s="298"/>
    </row>
    <row r="40" spans="1:9" x14ac:dyDescent="0.15">
      <c r="A40" s="298"/>
      <c r="B40" s="298" t="s">
        <v>416</v>
      </c>
      <c r="C40" s="299">
        <v>0</v>
      </c>
      <c r="D40" s="299">
        <v>0</v>
      </c>
      <c r="E40" s="299">
        <v>0</v>
      </c>
      <c r="F40" s="299">
        <v>0</v>
      </c>
      <c r="G40" s="299">
        <f t="shared" si="1"/>
        <v>0</v>
      </c>
      <c r="H40" s="298" t="s">
        <v>406</v>
      </c>
      <c r="I40" s="298"/>
    </row>
    <row r="41" spans="1:9" x14ac:dyDescent="0.15">
      <c r="A41" s="298"/>
      <c r="B41" s="298" t="s">
        <v>415</v>
      </c>
      <c r="C41" s="299">
        <v>0</v>
      </c>
      <c r="D41" s="299">
        <v>0</v>
      </c>
      <c r="E41" s="299">
        <v>0</v>
      </c>
      <c r="F41" s="299">
        <v>0</v>
      </c>
      <c r="G41" s="299">
        <f t="shared" si="1"/>
        <v>0</v>
      </c>
      <c r="H41" s="298" t="s">
        <v>406</v>
      </c>
      <c r="I41" s="298"/>
    </row>
    <row r="42" spans="1:9" x14ac:dyDescent="0.15">
      <c r="A42" s="298"/>
      <c r="B42" s="298" t="s">
        <v>414</v>
      </c>
      <c r="C42" s="299">
        <v>0</v>
      </c>
      <c r="D42" s="299">
        <v>0</v>
      </c>
      <c r="E42" s="299">
        <v>0</v>
      </c>
      <c r="F42" s="299">
        <v>0</v>
      </c>
      <c r="G42" s="299">
        <f t="shared" si="1"/>
        <v>0</v>
      </c>
      <c r="H42" s="298" t="s">
        <v>406</v>
      </c>
      <c r="I42" s="298"/>
    </row>
    <row r="43" spans="1:9" x14ac:dyDescent="0.15">
      <c r="A43" s="298"/>
      <c r="B43" s="298" t="s">
        <v>413</v>
      </c>
      <c r="C43" s="299">
        <v>0</v>
      </c>
      <c r="D43" s="299">
        <v>0</v>
      </c>
      <c r="E43" s="299">
        <v>0</v>
      </c>
      <c r="F43" s="299">
        <v>0</v>
      </c>
      <c r="G43" s="299">
        <f t="shared" si="1"/>
        <v>0</v>
      </c>
      <c r="H43" s="298" t="s">
        <v>406</v>
      </c>
      <c r="I43" s="298"/>
    </row>
    <row r="44" spans="1:9" x14ac:dyDescent="0.15">
      <c r="A44" s="298"/>
      <c r="B44" s="298" t="s">
        <v>412</v>
      </c>
      <c r="C44" s="299">
        <v>0</v>
      </c>
      <c r="D44" s="299">
        <v>0</v>
      </c>
      <c r="E44" s="299">
        <v>0</v>
      </c>
      <c r="F44" s="299">
        <v>0</v>
      </c>
      <c r="G44" s="299">
        <f t="shared" si="1"/>
        <v>0</v>
      </c>
      <c r="H44" s="298" t="s">
        <v>406</v>
      </c>
      <c r="I44" s="298"/>
    </row>
    <row r="45" spans="1:9" x14ac:dyDescent="0.15">
      <c r="A45" s="298"/>
      <c r="B45" s="298" t="s">
        <v>411</v>
      </c>
      <c r="C45" s="299">
        <v>0</v>
      </c>
      <c r="D45" s="299">
        <v>0</v>
      </c>
      <c r="E45" s="299">
        <v>0</v>
      </c>
      <c r="F45" s="299">
        <v>0</v>
      </c>
      <c r="G45" s="299">
        <f t="shared" si="1"/>
        <v>0</v>
      </c>
      <c r="H45" s="298" t="s">
        <v>406</v>
      </c>
      <c r="I45" s="298"/>
    </row>
    <row r="46" spans="1:9" x14ac:dyDescent="0.15">
      <c r="A46" s="298"/>
      <c r="B46" s="298" t="s">
        <v>410</v>
      </c>
      <c r="C46" s="299">
        <v>0</v>
      </c>
      <c r="D46" s="299">
        <v>0</v>
      </c>
      <c r="E46" s="299">
        <v>0</v>
      </c>
      <c r="F46" s="299">
        <v>0</v>
      </c>
      <c r="G46" s="299">
        <f t="shared" si="1"/>
        <v>0</v>
      </c>
      <c r="H46" s="298" t="s">
        <v>406</v>
      </c>
      <c r="I46" s="298"/>
    </row>
    <row r="47" spans="1:9" x14ac:dyDescent="0.15">
      <c r="A47" s="298"/>
      <c r="B47" s="298" t="s">
        <v>409</v>
      </c>
      <c r="C47" s="299">
        <v>0</v>
      </c>
      <c r="D47" s="299">
        <v>0</v>
      </c>
      <c r="E47" s="299">
        <v>0</v>
      </c>
      <c r="F47" s="299">
        <v>0</v>
      </c>
      <c r="G47" s="299">
        <f t="shared" si="1"/>
        <v>0</v>
      </c>
      <c r="H47" s="298" t="s">
        <v>406</v>
      </c>
      <c r="I47" s="298"/>
    </row>
    <row r="48" spans="1:9" x14ac:dyDescent="0.15">
      <c r="A48" s="298"/>
      <c r="B48" s="298" t="s">
        <v>408</v>
      </c>
      <c r="C48" s="299">
        <v>0</v>
      </c>
      <c r="D48" s="299">
        <v>0</v>
      </c>
      <c r="E48" s="299">
        <v>0</v>
      </c>
      <c r="F48" s="299">
        <v>0</v>
      </c>
      <c r="G48" s="299">
        <f t="shared" si="1"/>
        <v>0</v>
      </c>
      <c r="H48" s="298" t="s">
        <v>406</v>
      </c>
      <c r="I48" s="298"/>
    </row>
    <row r="49" spans="1:9" x14ac:dyDescent="0.15">
      <c r="A49" s="298"/>
      <c r="B49" s="298" t="s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f t="shared" si="1"/>
        <v>0</v>
      </c>
      <c r="H49" s="298" t="s">
        <v>406</v>
      </c>
      <c r="I49" s="298"/>
    </row>
    <row r="50" spans="1:9" x14ac:dyDescent="0.15">
      <c r="A50" s="298"/>
      <c r="B50" s="298" t="s">
        <v>407</v>
      </c>
      <c r="C50" s="299">
        <v>0</v>
      </c>
      <c r="D50" s="299">
        <v>0</v>
      </c>
      <c r="E50" s="299">
        <v>0</v>
      </c>
      <c r="F50" s="299">
        <v>0</v>
      </c>
      <c r="G50" s="299">
        <f t="shared" si="1"/>
        <v>0</v>
      </c>
      <c r="H50" s="298" t="s">
        <v>406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2025-26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2025-26</v>
      </c>
      <c r="D6" s="100"/>
      <c r="E6" s="120">
        <f>IF((E5&gt;0),Admin!N$4,0)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ht="14" thickBot="1" x14ac:dyDescent="0.2">
      <c r="A9" s="96"/>
      <c r="B9" s="108" t="s">
        <v>128</v>
      </c>
      <c r="C9" s="108">
        <f>Admin!N$12</f>
        <v>37701</v>
      </c>
      <c r="D9" s="144">
        <f>Admin!N$7</f>
        <v>0.4</v>
      </c>
      <c r="E9" s="99">
        <f>IF((E7&gt;C9),((E7-C9)*D9),0)</f>
        <v>0</v>
      </c>
      <c r="F9" s="122"/>
      <c r="G9" s="120"/>
      <c r="M9" s="293"/>
    </row>
    <row r="10" spans="1:13" ht="14" thickBot="1" x14ac:dyDescent="0.2">
      <c r="A10" s="96"/>
      <c r="B10" s="114" t="s">
        <v>101</v>
      </c>
      <c r="C10" s="139"/>
      <c r="D10" s="136"/>
      <c r="E10" s="292">
        <f>SUM(E8:E9)</f>
        <v>0</v>
      </c>
      <c r="F10" s="122"/>
      <c r="G10" s="120"/>
      <c r="M10" s="293"/>
    </row>
    <row r="11" spans="1:13" x14ac:dyDescent="0.15">
      <c r="A11" s="96"/>
      <c r="B11" s="108" t="s">
        <v>4</v>
      </c>
      <c r="C11" s="108"/>
      <c r="D11" s="101"/>
      <c r="E11" s="99">
        <f>-[2]Mar!$X$1</f>
        <v>0</v>
      </c>
      <c r="F11" s="123"/>
      <c r="G11" s="121"/>
      <c r="M11" s="293"/>
    </row>
    <row r="12" spans="1:13" x14ac:dyDescent="0.15">
      <c r="A12" s="96"/>
      <c r="B12" s="108"/>
      <c r="C12" s="108"/>
      <c r="D12" s="101"/>
      <c r="E12" s="99"/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46418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SUM(E10:E17)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8" t="s">
        <v>31</v>
      </c>
      <c r="I1" s="429"/>
      <c r="J1" s="429"/>
      <c r="K1" s="429"/>
      <c r="L1" s="430"/>
      <c r="M1" s="32"/>
      <c r="N1" s="428" t="s">
        <v>31</v>
      </c>
      <c r="O1" s="429"/>
      <c r="P1" s="429"/>
      <c r="Q1" s="429"/>
      <c r="R1" s="430"/>
      <c r="S1" s="32"/>
      <c r="T1" s="428" t="s">
        <v>31</v>
      </c>
      <c r="U1" s="429"/>
      <c r="V1" s="429"/>
      <c r="W1" s="429"/>
      <c r="X1" s="430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1" t="s">
        <v>44</v>
      </c>
      <c r="AE2" s="432"/>
      <c r="AF2" s="432"/>
      <c r="AG2" s="433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34" t="s">
        <v>404</v>
      </c>
      <c r="AE3" s="437"/>
      <c r="AF3" s="437"/>
      <c r="AG3" s="437"/>
      <c r="AH3" s="24"/>
    </row>
    <row r="4" spans="1:34" ht="13" x14ac:dyDescent="0.15">
      <c r="A4" s="20"/>
      <c r="B4" s="438" t="s">
        <v>45</v>
      </c>
      <c r="C4" s="439"/>
      <c r="D4" s="439"/>
      <c r="E4" s="440"/>
      <c r="F4" s="44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6"/>
      <c r="AE4" s="437"/>
      <c r="AF4" s="437"/>
      <c r="AG4" s="43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6"/>
      <c r="AE5" s="437"/>
      <c r="AF5" s="437"/>
      <c r="AG5" s="437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6"/>
      <c r="AE6" s="437"/>
      <c r="AF6" s="437"/>
      <c r="AG6" s="43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6"/>
      <c r="AE7" s="437"/>
      <c r="AF7" s="437"/>
      <c r="AG7" s="437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6"/>
      <c r="AE8" s="437"/>
      <c r="AF8" s="437"/>
      <c r="AG8" s="43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6"/>
      <c r="AE9" s="437"/>
      <c r="AF9" s="437"/>
      <c r="AG9" s="437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34" t="s">
        <v>46</v>
      </c>
      <c r="AE11" s="437"/>
      <c r="AF11" s="437"/>
      <c r="AG11" s="437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6"/>
      <c r="AE12" s="437"/>
      <c r="AF12" s="437"/>
      <c r="AG12" s="43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6"/>
      <c r="AE13" s="437"/>
      <c r="AF13" s="437"/>
      <c r="AG13" s="437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34" t="s">
        <v>405</v>
      </c>
      <c r="AE15" s="435"/>
      <c r="AF15" s="435"/>
      <c r="AG15" s="435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34"/>
      <c r="AE16" s="435"/>
      <c r="AF16" s="435"/>
      <c r="AG16" s="43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34"/>
      <c r="AE17" s="435"/>
      <c r="AF17" s="435"/>
      <c r="AG17" s="435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34" t="s">
        <v>47</v>
      </c>
      <c r="AE19" s="435"/>
      <c r="AF19" s="435"/>
      <c r="AG19" s="435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34"/>
      <c r="AE20" s="435"/>
      <c r="AF20" s="435"/>
      <c r="AG20" s="43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34"/>
      <c r="AE21" s="435"/>
      <c r="AF21" s="435"/>
      <c r="AG21" s="435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34" t="s">
        <v>48</v>
      </c>
      <c r="AE23" s="435"/>
      <c r="AF23" s="435"/>
      <c r="AG23" s="435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34"/>
      <c r="AE24" s="435"/>
      <c r="AF24" s="435"/>
      <c r="AG24" s="43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34"/>
      <c r="AE25" s="435"/>
      <c r="AF25" s="435"/>
      <c r="AG25" s="435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6"/>
      <c r="AE26" s="437"/>
      <c r="AF26" s="437"/>
      <c r="AG26" s="43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34" t="s">
        <v>49</v>
      </c>
      <c r="AE28" s="435"/>
      <c r="AF28" s="435"/>
      <c r="AG28" s="43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34"/>
      <c r="AE29" s="435"/>
      <c r="AF29" s="435"/>
      <c r="AG29" s="435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6"/>
      <c r="AE30" s="437"/>
      <c r="AF30" s="437"/>
      <c r="AG30" s="43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1" t="s">
        <v>143</v>
      </c>
      <c r="C2" s="157" t="s">
        <v>140</v>
      </c>
      <c r="D2" s="401">
        <f>Admin!B5</f>
        <v>45777</v>
      </c>
      <c r="E2" s="400">
        <f>Admin!B6</f>
        <v>45808</v>
      </c>
      <c r="F2" s="400">
        <f>Admin!B7</f>
        <v>45838</v>
      </c>
      <c r="G2" s="400">
        <f>Admin!B8</f>
        <v>45869</v>
      </c>
      <c r="H2" s="400">
        <f>Admin!B9</f>
        <v>45900</v>
      </c>
      <c r="I2" s="400">
        <f>Admin!B10</f>
        <v>45930</v>
      </c>
      <c r="J2" s="400">
        <f>Admin!B11</f>
        <v>45961</v>
      </c>
      <c r="K2" s="400">
        <f>Admin!B12</f>
        <v>45991</v>
      </c>
      <c r="L2" s="400">
        <f>Admin!B13</f>
        <v>46022</v>
      </c>
      <c r="M2" s="400">
        <f>Admin!B14</f>
        <v>46053</v>
      </c>
      <c r="N2" s="400">
        <f>Admin!B15</f>
        <v>46081</v>
      </c>
      <c r="O2" s="400">
        <f>Admin!B16</f>
        <v>46112</v>
      </c>
      <c r="P2" s="23"/>
    </row>
    <row r="3" spans="1:16" ht="12" customHeight="1" x14ac:dyDescent="0.15">
      <c r="A3" s="23"/>
      <c r="B3" s="442"/>
      <c r="C3" s="158">
        <f>Admin!B$17</f>
        <v>46117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3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45777</v>
      </c>
      <c r="E19" s="401">
        <f t="shared" si="3"/>
        <v>45808</v>
      </c>
      <c r="F19" s="401">
        <f t="shared" si="3"/>
        <v>45838</v>
      </c>
      <c r="G19" s="401">
        <f t="shared" si="3"/>
        <v>45869</v>
      </c>
      <c r="H19" s="401">
        <f t="shared" si="3"/>
        <v>45900</v>
      </c>
      <c r="I19" s="401">
        <f t="shared" si="3"/>
        <v>45930</v>
      </c>
      <c r="J19" s="401">
        <f t="shared" si="3"/>
        <v>45961</v>
      </c>
      <c r="K19" s="401">
        <f t="shared" si="3"/>
        <v>45991</v>
      </c>
      <c r="L19" s="401">
        <f t="shared" si="3"/>
        <v>46022</v>
      </c>
      <c r="M19" s="401">
        <f t="shared" si="3"/>
        <v>46053</v>
      </c>
      <c r="N19" s="401">
        <f t="shared" si="3"/>
        <v>46081</v>
      </c>
      <c r="O19" s="401">
        <f t="shared" si="3"/>
        <v>46112</v>
      </c>
      <c r="P19" s="23"/>
    </row>
    <row r="20" spans="1:16" ht="12" customHeight="1" x14ac:dyDescent="0.15">
      <c r="A20" s="23"/>
      <c r="B20" s="445"/>
      <c r="C20" s="158">
        <f>Admin!B$17</f>
        <v>46117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23"/>
    </row>
    <row r="21" spans="1:16" ht="13" thickBot="1" x14ac:dyDescent="0.2">
      <c r="A21" s="23"/>
      <c r="B21" s="443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7" t="s">
        <v>95</v>
      </c>
      <c r="C36" s="44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Admin!N$4</f>
        <v>12570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IF((C41&gt;0),(IF((C41&lt;Admin!N$12),C41*Admin!N$6,Admin!N$12*Admin!N$6)),0)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IF((C41&gt;Admin!N$12),((C41-Admin!N$12)*Admin!N$7),0)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s">
        <v>93</v>
      </c>
      <c r="C44" s="128">
        <f>IF((C41&gt;0),IF(C41&gt;Admin!N12,Admin!N12*Admin!L20+(C41-Admin!N12)*Admin!L23,C41*Admin!L$20),0)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ht="6" customHeight="1" x14ac:dyDescent="0.15">
      <c r="A45" s="23"/>
      <c r="B45" s="87"/>
      <c r="C45" s="128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45716</v>
      </c>
      <c r="C2" s="147"/>
      <c r="D2" s="449" t="s">
        <v>103</v>
      </c>
      <c r="E2" s="449"/>
      <c r="F2" s="449"/>
      <c r="G2" s="287" t="str">
        <f>B23</f>
        <v>2025-26</v>
      </c>
      <c r="H2" s="147"/>
      <c r="I2" s="147"/>
      <c r="J2" s="454" t="s">
        <v>120</v>
      </c>
      <c r="K2" s="454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45747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45753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12570</v>
      </c>
      <c r="O4" s="146" t="s">
        <v>51</v>
      </c>
    </row>
    <row r="5" spans="1:15" ht="12" customHeight="1" x14ac:dyDescent="0.15">
      <c r="A5" s="147"/>
      <c r="B5" s="164">
        <v>45777</v>
      </c>
      <c r="C5" s="147"/>
      <c r="D5" s="450" t="s">
        <v>104</v>
      </c>
      <c r="E5" s="450"/>
      <c r="F5" s="450"/>
      <c r="G5" s="148">
        <v>0.18</v>
      </c>
      <c r="H5" s="147"/>
      <c r="I5" s="147"/>
      <c r="J5" s="147"/>
      <c r="K5" s="147"/>
      <c r="L5" s="147"/>
      <c r="M5" s="147"/>
      <c r="N5" s="146"/>
      <c r="O5" s="146"/>
    </row>
    <row r="6" spans="1:15" ht="12" customHeight="1" x14ac:dyDescent="0.15">
      <c r="A6" s="147"/>
      <c r="B6" s="164">
        <v>45808</v>
      </c>
      <c r="C6" s="147"/>
      <c r="D6" s="147"/>
      <c r="E6" s="147"/>
      <c r="F6" s="147"/>
      <c r="G6" s="146"/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45838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45869</v>
      </c>
      <c r="C8" s="147"/>
      <c r="D8" s="147" t="s">
        <v>112</v>
      </c>
      <c r="E8" s="152">
        <v>12000</v>
      </c>
      <c r="F8" s="147" t="s">
        <v>113</v>
      </c>
      <c r="G8" s="152">
        <v>3000</v>
      </c>
      <c r="H8" s="147"/>
      <c r="I8" s="147"/>
      <c r="J8" s="147"/>
      <c r="K8" s="147"/>
      <c r="L8" s="147"/>
      <c r="M8" s="147"/>
      <c r="N8" s="146"/>
      <c r="O8" s="146"/>
    </row>
    <row r="9" spans="1:15" ht="12" customHeight="1" x14ac:dyDescent="0.15">
      <c r="A9" s="147"/>
      <c r="B9" s="164">
        <v>45900</v>
      </c>
      <c r="C9" s="147"/>
      <c r="D9" s="147"/>
      <c r="E9" s="146"/>
      <c r="F9" s="147"/>
      <c r="G9" s="146"/>
      <c r="H9" s="147"/>
      <c r="I9" s="450" t="s">
        <v>122</v>
      </c>
      <c r="J9" s="455"/>
      <c r="K9" s="455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45930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45961</v>
      </c>
      <c r="C11" s="147"/>
      <c r="D11" s="449" t="s">
        <v>105</v>
      </c>
      <c r="E11" s="449"/>
      <c r="F11" s="449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45991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46022</v>
      </c>
      <c r="C13" s="147"/>
      <c r="D13" s="450" t="s">
        <v>106</v>
      </c>
      <c r="E13" s="450"/>
      <c r="F13" s="450"/>
      <c r="G13" s="148">
        <v>0</v>
      </c>
      <c r="H13" s="147"/>
      <c r="I13" s="147"/>
      <c r="J13" s="147"/>
      <c r="K13" s="147"/>
      <c r="L13" s="147"/>
      <c r="M13" s="147"/>
      <c r="N13" s="147"/>
      <c r="O13" s="147"/>
    </row>
    <row r="14" spans="1:15" ht="12" customHeight="1" x14ac:dyDescent="0.15">
      <c r="A14" s="147"/>
      <c r="B14" s="164">
        <v>46053</v>
      </c>
      <c r="C14" s="147"/>
      <c r="D14" s="450" t="s">
        <v>107</v>
      </c>
      <c r="E14" s="450"/>
      <c r="F14" s="450"/>
      <c r="G14" s="148">
        <v>0.1</v>
      </c>
      <c r="H14" s="147"/>
      <c r="I14" s="456" t="s">
        <v>132</v>
      </c>
      <c r="J14" s="456"/>
      <c r="K14" s="456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46081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46112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0</v>
      </c>
      <c r="M16" s="147" t="s">
        <v>436</v>
      </c>
      <c r="N16" s="147"/>
      <c r="O16" s="147"/>
    </row>
    <row r="17" spans="1:15" ht="12" customHeight="1" thickBot="1" x14ac:dyDescent="0.2">
      <c r="A17" s="147"/>
      <c r="B17" s="175">
        <v>46117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46142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46173</v>
      </c>
      <c r="C19" s="147"/>
      <c r="D19" s="449" t="s">
        <v>114</v>
      </c>
      <c r="E19" s="449"/>
      <c r="F19" s="146" t="s">
        <v>119</v>
      </c>
      <c r="G19" s="146" t="s">
        <v>115</v>
      </c>
      <c r="H19" s="147"/>
      <c r="I19" s="452" t="s">
        <v>134</v>
      </c>
      <c r="J19" s="452"/>
      <c r="K19" s="452"/>
      <c r="L19" s="147"/>
      <c r="M19" s="451" t="s">
        <v>400</v>
      </c>
      <c r="N19" s="147"/>
      <c r="O19" s="147"/>
    </row>
    <row r="20" spans="1:15" ht="12" customHeight="1" x14ac:dyDescent="0.15">
      <c r="A20" s="147"/>
      <c r="B20" s="164">
        <v>46203</v>
      </c>
      <c r="C20" s="147"/>
      <c r="D20" s="162"/>
      <c r="E20" s="162"/>
      <c r="F20" s="146"/>
      <c r="G20" s="146"/>
      <c r="H20" s="147"/>
      <c r="I20" s="452"/>
      <c r="J20" s="452"/>
      <c r="K20" s="452"/>
      <c r="L20" s="295">
        <v>0.06</v>
      </c>
      <c r="M20" s="451"/>
      <c r="N20" s="152">
        <v>12570</v>
      </c>
      <c r="O20" s="146" t="s">
        <v>51</v>
      </c>
    </row>
    <row r="21" spans="1:15" ht="12" customHeight="1" x14ac:dyDescent="0.15">
      <c r="A21" s="147"/>
      <c r="B21" s="164">
        <v>46418</v>
      </c>
      <c r="C21" s="147"/>
      <c r="D21" s="450" t="s">
        <v>117</v>
      </c>
      <c r="E21" s="450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46599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2" t="s">
        <v>135</v>
      </c>
      <c r="J22" s="452"/>
      <c r="K22" s="452"/>
      <c r="L22" s="147"/>
      <c r="M22" s="451" t="s">
        <v>401</v>
      </c>
      <c r="N22" s="147"/>
      <c r="O22" s="147"/>
    </row>
    <row r="23" spans="1:15" ht="12" customHeight="1" thickBot="1" x14ac:dyDescent="0.2">
      <c r="A23" s="147"/>
      <c r="B23" s="175" t="s">
        <v>435</v>
      </c>
      <c r="C23" s="147"/>
      <c r="D23" s="147"/>
      <c r="E23" s="147"/>
      <c r="F23" s="146"/>
      <c r="G23" s="170"/>
      <c r="H23" s="147"/>
      <c r="I23" s="452"/>
      <c r="J23" s="452"/>
      <c r="K23" s="452"/>
      <c r="L23" s="295">
        <v>0.02</v>
      </c>
      <c r="M23" s="451"/>
      <c r="N23" s="152">
        <v>50270</v>
      </c>
      <c r="O23" s="146" t="s">
        <v>51</v>
      </c>
    </row>
    <row r="24" spans="1:15" ht="12" customHeight="1" thickBot="1" x14ac:dyDescent="0.2">
      <c r="A24" s="147"/>
      <c r="B24" s="175" t="s">
        <v>437</v>
      </c>
      <c r="C24" s="147"/>
      <c r="D24" s="449" t="s">
        <v>114</v>
      </c>
      <c r="E24" s="449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71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90000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6"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Terry Cartwright</dc:creator>
  <cp:lastModifiedBy>Cartwright, Antony</cp:lastModifiedBy>
  <cp:lastPrinted>2008-06-02T20:53:06Z</cp:lastPrinted>
  <dcterms:created xsi:type="dcterms:W3CDTF">2002-12-30T15:31:19Z</dcterms:created>
  <dcterms:modified xsi:type="dcterms:W3CDTF">2025-04-03T22:48:48Z</dcterms:modified>
</cp:coreProperties>
</file>