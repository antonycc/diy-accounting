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67F2074C-94F5-184A-A9DA-CA68A9577131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01'!$G$5:$Q$5</definedName>
    <definedName name="_xlnm.Print_Area" localSheetId="0">'Month 01'!$A$1:$AI$75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11'!$A$1:$AJ$75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<sst xmlns="http://schemas.openxmlformats.org/spreadsheetml/2006/main" count="876" uniqueCount="58">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</sst>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/>
    <xf numFmtId="0" fontId="0" fillId="0" borderId="3" xfId="0" applyBorder="1"/>
    <xf numFmtId="0" fontId="0" fillId="0" borderId="7" xfId="0" applyBorder="1" applyAlignment="1">
      <alignment wrapText="1"/>
    </xf>
    <xf numFmtId="0" fontId="0" fillId="0" borderId="3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45778</v>
          </cell>
        </row>
        <row r="10">
          <cell r="B10">
            <v>45808</v>
          </cell>
        </row>
        <row r="11">
          <cell r="B11">
            <v>45809</v>
          </cell>
        </row>
        <row r="12">
          <cell r="B12">
            <v>45838</v>
          </cell>
        </row>
        <row r="13">
          <cell r="B13">
            <v>45839</v>
          </cell>
        </row>
        <row r="14">
          <cell r="B14">
            <v>45869</v>
          </cell>
        </row>
        <row r="15">
          <cell r="B15">
            <v>45870</v>
          </cell>
        </row>
        <row r="16">
          <cell r="B16">
            <v>45900</v>
          </cell>
        </row>
        <row r="17">
          <cell r="B17">
            <v>45901</v>
          </cell>
        </row>
        <row r="18">
          <cell r="B18">
            <v>45930</v>
          </cell>
        </row>
        <row r="19">
          <cell r="B19">
            <v>45931</v>
          </cell>
        </row>
        <row r="20">
          <cell r="B20">
            <v>45961</v>
          </cell>
        </row>
        <row r="21">
          <cell r="B21">
            <v>45962</v>
          </cell>
        </row>
        <row r="22">
          <cell r="B22">
            <v>45991</v>
          </cell>
        </row>
        <row r="23">
          <cell r="B23">
            <v>45992</v>
          </cell>
        </row>
        <row r="24">
          <cell r="B24">
            <v>46022</v>
          </cell>
        </row>
        <row r="25">
          <cell r="B25">
            <v>46023</v>
          </cell>
        </row>
        <row r="26">
          <cell r="B26">
            <v>46053</v>
          </cell>
        </row>
        <row r="27">
          <cell r="B27">
            <v>46054</v>
          </cell>
        </row>
        <row r="28">
          <cell r="B28">
            <v>46081</v>
          </cell>
        </row>
        <row r="29">
          <cell r="B29">
            <v>46082</v>
          </cell>
        </row>
        <row r="30">
          <cell r="B30">
            <v>46112</v>
          </cell>
        </row>
        <row r="31">
          <cell r="B31">
            <v>46113</v>
          </cell>
        </row>
        <row r="32">
          <cell r="B32">
            <v>46142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45808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45808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P3:P4"/>
    <mergeCell ref="I3:I4"/>
    <mergeCell ref="J3:J4"/>
    <mergeCell ref="K3:K4"/>
    <mergeCell ref="L3:L4"/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01'!A2</f>
        <v>0</v>
      </c>
      <c r="B1" s="15" t="s">
        <v>19</v>
      </c>
      <c r="C1" s="7">
        <f>[1]Admin!$B$11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45838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45838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G3:AG4"/>
    <mergeCell ref="AH3:AH4"/>
    <mergeCell ref="AI3:AI4"/>
    <mergeCell ref="AN3:AN4"/>
    <mergeCell ref="AJ3:AJ4"/>
    <mergeCell ref="AK3:AK4"/>
    <mergeCell ref="AL3:AL4"/>
    <mergeCell ref="AM3:AM4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F3:F5"/>
    <mergeCell ref="G3:G4"/>
    <mergeCell ref="H3:H4"/>
    <mergeCell ref="I3:I4"/>
    <mergeCell ref="B4:C4"/>
    <mergeCell ref="D2:D5"/>
    <mergeCell ref="E2:E5"/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02'!A2</f>
        <v>0</v>
      </c>
      <c r="B1" s="15" t="s">
        <v>19</v>
      </c>
      <c r="C1" s="7">
        <f>[1]Admin!$B$13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45869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45869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03'!A2</f>
        <v>0</v>
      </c>
      <c r="B1" s="15" t="s">
        <v>19</v>
      </c>
      <c r="C1" s="7">
        <f>[1]Admin!$B$15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45900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45900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04'!A2</f>
        <v>0</v>
      </c>
      <c r="B1" s="15" t="s">
        <v>19</v>
      </c>
      <c r="C1" s="7">
        <f>[1]Admin!$B$17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45930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45930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05'!A2</f>
        <v>0</v>
      </c>
      <c r="B1" s="15" t="s">
        <v>19</v>
      </c>
      <c r="C1" s="7">
        <f>[1]Admin!$B$19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45961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45961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06'!A2</f>
        <v>0</v>
      </c>
      <c r="B1" s="15" t="s">
        <v>19</v>
      </c>
      <c r="C1" s="7">
        <f>[1]Admin!$B$21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45991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45991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07'!A2</f>
        <v>0</v>
      </c>
      <c r="B1" s="15" t="s">
        <v>19</v>
      </c>
      <c r="C1" s="7">
        <f>[1]Admin!$B$23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46022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46022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08'!A2</f>
        <v>0</v>
      </c>
      <c r="B1" s="15" t="s">
        <v>19</v>
      </c>
      <c r="C1" s="7">
        <f>[1]Admin!$B$25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46053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46053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09'!A2</f>
        <v>0</v>
      </c>
      <c r="B1" s="15" t="s">
        <v>19</v>
      </c>
      <c r="C1" s="7">
        <f>[1]Admin!$B$27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46081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46081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10'!A2</f>
        <v>0</v>
      </c>
      <c r="B1" s="15" t="s">
        <v>19</v>
      </c>
      <c r="C1" s="7">
        <f>[1]Admin!$B$29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46112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46112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11'!A2</f>
        <v>0</v>
      </c>
      <c r="B1" s="15" t="s">
        <v>19</v>
      </c>
      <c r="C1" s="7">
        <f>[1]Admin!$B$31</f>
        <v>46113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9"/>
      <c r="S1" s="38" t="str">
        <f>IF(W1=0," ","Check all payment code letters entered")</f>
        <v xml:space="preserve"> </v>
      </c>
      <c r="T1" s="39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46142</v>
      </c>
      <c r="D2" s="52" t="s">
        <v>44</v>
      </c>
      <c r="E2" s="40" t="s">
        <v>13</v>
      </c>
      <c r="F2" s="54" t="s">
        <v>56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  <c r="R2" s="50"/>
      <c r="S2" s="38" t="str">
        <f>IF(E1=0," ","Check all Receipts Code Letters entered")</f>
        <v xml:space="preserve"> </v>
      </c>
      <c r="T2" s="39"/>
      <c r="U2" s="66" t="s">
        <v>24</v>
      </c>
      <c r="V2" s="62" t="s">
        <v>43</v>
      </c>
      <c r="W2" s="40" t="s">
        <v>13</v>
      </c>
      <c r="X2" s="54" t="s">
        <v>57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5"/>
    </row>
    <row r="3" spans="1:40" ht="20" customHeight="1" thickBot="1" x14ac:dyDescent="0.2">
      <c r="A3" s="3"/>
      <c r="B3" s="10" t="s">
        <v>21</v>
      </c>
      <c r="C3" s="8">
        <f>C2</f>
        <v>46142</v>
      </c>
      <c r="D3" s="53"/>
      <c r="E3" s="41"/>
      <c r="F3" s="57" t="s">
        <v>33</v>
      </c>
      <c r="G3" s="57" t="s">
        <v>46</v>
      </c>
      <c r="H3" s="57" t="s">
        <v>47</v>
      </c>
      <c r="I3" s="57" t="s">
        <v>15</v>
      </c>
      <c r="J3" s="57" t="s">
        <v>16</v>
      </c>
      <c r="K3" s="57" t="s">
        <v>35</v>
      </c>
      <c r="L3" s="57" t="s">
        <v>36</v>
      </c>
      <c r="M3" s="57" t="s">
        <v>37</v>
      </c>
      <c r="N3" s="57" t="s">
        <v>50</v>
      </c>
      <c r="O3" s="57" t="s">
        <v>51</v>
      </c>
      <c r="P3" s="57" t="s">
        <v>6</v>
      </c>
      <c r="Q3" s="57" t="s">
        <v>18</v>
      </c>
      <c r="R3" s="50"/>
      <c r="S3" s="18"/>
      <c r="T3" s="19"/>
      <c r="U3" s="67"/>
      <c r="V3" s="63"/>
      <c r="W3" s="41"/>
      <c r="X3" s="57" t="s">
        <v>34</v>
      </c>
      <c r="Y3" s="57" t="s">
        <v>48</v>
      </c>
      <c r="Z3" s="57" t="s">
        <v>49</v>
      </c>
      <c r="AA3" s="57" t="s">
        <v>22</v>
      </c>
      <c r="AB3" s="57" t="s">
        <v>17</v>
      </c>
      <c r="AC3" s="57" t="s">
        <v>42</v>
      </c>
      <c r="AD3" s="57" t="s">
        <v>4</v>
      </c>
      <c r="AE3" s="57" t="s">
        <v>40</v>
      </c>
      <c r="AF3" s="57" t="s">
        <v>36</v>
      </c>
      <c r="AG3" s="57" t="s">
        <v>37</v>
      </c>
      <c r="AH3" s="57" t="s">
        <v>52</v>
      </c>
      <c r="AI3" s="57" t="s">
        <v>53</v>
      </c>
      <c r="AJ3" s="57" t="s">
        <v>54</v>
      </c>
      <c r="AK3" s="57" t="s">
        <v>55</v>
      </c>
      <c r="AL3" s="57" t="s">
        <v>5</v>
      </c>
      <c r="AM3" s="57" t="s">
        <v>6</v>
      </c>
      <c r="AN3" s="57" t="s">
        <v>18</v>
      </c>
    </row>
    <row r="4" spans="1:40" s="4" customFormat="1" ht="20" customHeight="1" x14ac:dyDescent="0.15">
      <c r="A4" s="37">
        <f>A2-A3</f>
        <v>0</v>
      </c>
      <c r="B4" s="43" t="str">
        <f>IF(A4=0,"&lt;  Bank  - Statement Balance","  Reconcile Bank Statement")</f>
        <v>&lt;  Bank  - Statement Balance</v>
      </c>
      <c r="C4" s="44"/>
      <c r="D4" s="53"/>
      <c r="E4" s="41"/>
      <c r="F4" s="58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0"/>
      <c r="S4" s="47" t="s">
        <v>41</v>
      </c>
      <c r="T4" s="45" t="s">
        <v>2</v>
      </c>
      <c r="U4" s="67"/>
      <c r="V4" s="63"/>
      <c r="W4" s="41"/>
      <c r="X4" s="60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1"/>
      <c r="AL4" s="61"/>
      <c r="AM4" s="61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45"/>
      <c r="E5" s="42"/>
      <c r="F5" s="5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51"/>
      <c r="S5" s="48"/>
      <c r="T5" s="46"/>
      <c r="U5" s="67"/>
      <c r="V5" s="63"/>
      <c r="W5" s="42"/>
      <c r="X5" s="61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K3:AK4"/>
    <mergeCell ref="AL3:AL4"/>
    <mergeCell ref="AG3:AG4"/>
    <mergeCell ref="AH3:AH4"/>
    <mergeCell ref="AI3:AI4"/>
    <mergeCell ref="AJ3:AJ4"/>
    <mergeCell ref="AC3:AC4"/>
    <mergeCell ref="AD3:AD4"/>
    <mergeCell ref="AE3:AE4"/>
    <mergeCell ref="AF3:AF4"/>
    <mergeCell ref="N3:N4"/>
    <mergeCell ref="O3:O4"/>
    <mergeCell ref="AA3:AA4"/>
    <mergeCell ref="AB3:AB4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2025-04-03T23:10:43Z</dcterms:modified>
</cp:coreProperties>
</file>