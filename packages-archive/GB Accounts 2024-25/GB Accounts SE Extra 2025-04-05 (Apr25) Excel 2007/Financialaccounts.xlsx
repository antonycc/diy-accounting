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6FEA1AB8-CB4E-554A-BE5E-3344D1B9BFFC}" xr6:coauthVersionLast="47" xr6:coauthVersionMax="47" xr10:uidLastSave="{00000000-0000-0000-0000-000000000000}"/>
  <bookViews>
    <workbookView xWindow="14080" yWindow="640" windowWidth="23460" windowHeight="1626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Income Tax" sheetId="8" r:id="rId5"/>
    <sheet name="Wagesinterface" sheetId="12" r:id="rId6"/>
    <sheet name="StockControl" sheetId="13" r:id="rId7"/>
    <sheet name="Profit Forecast" sheetId="14" r:id="rId8"/>
    <sheet name="Admin" sheetId="1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Titles" localSheetId="3">'Profit &amp; Loss Account'!$2:$4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2" l="1"/>
  <c r="H15" i="12"/>
  <c r="F15" i="12"/>
  <c r="E15" i="12"/>
  <c r="D15" i="12"/>
  <c r="C15" i="12"/>
  <c r="G15" i="12" s="1"/>
  <c r="I14" i="12"/>
  <c r="H14" i="12"/>
  <c r="F14" i="12"/>
  <c r="E14" i="12"/>
  <c r="D14" i="12"/>
  <c r="C14" i="12"/>
  <c r="G14" i="12" s="1"/>
  <c r="I13" i="12"/>
  <c r="H13" i="12"/>
  <c r="F13" i="12"/>
  <c r="E13" i="12"/>
  <c r="D13" i="12"/>
  <c r="C13" i="12"/>
  <c r="I12" i="12"/>
  <c r="H12" i="12"/>
  <c r="F12" i="12"/>
  <c r="E12" i="12"/>
  <c r="D12" i="12"/>
  <c r="C12" i="12"/>
  <c r="G12" i="12" s="1"/>
  <c r="I11" i="12"/>
  <c r="H11" i="12"/>
  <c r="F11" i="12"/>
  <c r="E11" i="12"/>
  <c r="D11" i="12"/>
  <c r="C11" i="12"/>
  <c r="I10" i="12"/>
  <c r="H10" i="12"/>
  <c r="F10" i="12"/>
  <c r="E10" i="12"/>
  <c r="D10" i="12"/>
  <c r="C10" i="12"/>
  <c r="I9" i="12"/>
  <c r="H9" i="12"/>
  <c r="F9" i="12"/>
  <c r="E9" i="12"/>
  <c r="D9" i="12"/>
  <c r="C9" i="12"/>
  <c r="G9" i="12" s="1"/>
  <c r="I8" i="12"/>
  <c r="H8" i="12"/>
  <c r="F8" i="12"/>
  <c r="E8" i="12"/>
  <c r="D8" i="12"/>
  <c r="C8" i="12"/>
  <c r="I7" i="12"/>
  <c r="H7" i="12"/>
  <c r="F7" i="12"/>
  <c r="E7" i="12"/>
  <c r="D7" i="12"/>
  <c r="C7" i="12"/>
  <c r="G7" i="12" s="1"/>
  <c r="I6" i="12"/>
  <c r="H6" i="12"/>
  <c r="F6" i="12"/>
  <c r="E6" i="12"/>
  <c r="D6" i="12"/>
  <c r="C6" i="12"/>
  <c r="I5" i="12"/>
  <c r="H5" i="12"/>
  <c r="F5" i="12"/>
  <c r="E5" i="12"/>
  <c r="D5" i="12"/>
  <c r="C5" i="12"/>
  <c r="I4" i="12"/>
  <c r="H4" i="12"/>
  <c r="F4" i="12"/>
  <c r="E4" i="12"/>
  <c r="D4" i="12"/>
  <c r="C4" i="12"/>
  <c r="G10" i="12"/>
  <c r="G6" i="12" l="1"/>
  <c r="G11" i="12"/>
  <c r="G4" i="12"/>
  <c r="G5" i="12"/>
  <c r="G8" i="12"/>
  <c r="G13" i="12"/>
  <c r="N26" i="6"/>
  <c r="L26" i="6"/>
  <c r="F30" i="13"/>
  <c r="N42" i="6"/>
  <c r="N41" i="6"/>
  <c r="N40" i="6"/>
  <c r="N39" i="6"/>
  <c r="N38" i="6"/>
  <c r="N37" i="6"/>
  <c r="N33" i="6"/>
  <c r="N32" i="6"/>
  <c r="N31" i="6"/>
  <c r="N30" i="6"/>
  <c r="N29" i="6"/>
  <c r="N28" i="6"/>
  <c r="N27" i="6"/>
  <c r="N21" i="6"/>
  <c r="N20" i="6"/>
  <c r="F28" i="13"/>
  <c r="M42" i="6"/>
  <c r="M41" i="6"/>
  <c r="M40" i="6"/>
  <c r="M39" i="6"/>
  <c r="M38" i="6"/>
  <c r="M37" i="6"/>
  <c r="M33" i="6"/>
  <c r="M32" i="6"/>
  <c r="M31" i="6"/>
  <c r="M30" i="6"/>
  <c r="M29" i="6"/>
  <c r="M28" i="6"/>
  <c r="M27" i="6"/>
  <c r="M21" i="6"/>
  <c r="M20" i="6"/>
  <c r="F26" i="13"/>
  <c r="L42" i="6"/>
  <c r="L41" i="6"/>
  <c r="L40" i="6"/>
  <c r="L39" i="6"/>
  <c r="L38" i="6"/>
  <c r="L37" i="6"/>
  <c r="L33" i="6"/>
  <c r="L32" i="6"/>
  <c r="L31" i="6"/>
  <c r="L30" i="6"/>
  <c r="L29" i="6"/>
  <c r="L28" i="6"/>
  <c r="L27" i="6"/>
  <c r="L21" i="6"/>
  <c r="L20" i="6"/>
  <c r="F24" i="13"/>
  <c r="K42" i="6"/>
  <c r="K41" i="6"/>
  <c r="K40" i="6"/>
  <c r="K39" i="6"/>
  <c r="K38" i="6"/>
  <c r="K37" i="6"/>
  <c r="K33" i="6"/>
  <c r="K32" i="6"/>
  <c r="K31" i="6"/>
  <c r="K30" i="6"/>
  <c r="K29" i="6"/>
  <c r="K28" i="6"/>
  <c r="K27" i="6"/>
  <c r="K21" i="6"/>
  <c r="K20" i="6"/>
  <c r="F22" i="13"/>
  <c r="J42" i="6"/>
  <c r="J41" i="6"/>
  <c r="J40" i="6"/>
  <c r="J39" i="6"/>
  <c r="J38" i="6"/>
  <c r="J37" i="6"/>
  <c r="J33" i="6"/>
  <c r="J32" i="6"/>
  <c r="J31" i="6"/>
  <c r="J30" i="6"/>
  <c r="J29" i="6"/>
  <c r="J28" i="6"/>
  <c r="J27" i="6"/>
  <c r="J26" i="6"/>
  <c r="J21" i="6"/>
  <c r="J20" i="6"/>
  <c r="F20" i="13"/>
  <c r="I42" i="6"/>
  <c r="I41" i="6"/>
  <c r="I40" i="6"/>
  <c r="I39" i="6"/>
  <c r="I38" i="6"/>
  <c r="I37" i="6"/>
  <c r="I33" i="6"/>
  <c r="I32" i="6"/>
  <c r="I31" i="6"/>
  <c r="I30" i="6"/>
  <c r="I29" i="6"/>
  <c r="I28" i="6"/>
  <c r="I27" i="6"/>
  <c r="I26" i="6"/>
  <c r="I21" i="6"/>
  <c r="I20" i="6"/>
  <c r="F18" i="13"/>
  <c r="H42" i="6"/>
  <c r="H41" i="6"/>
  <c r="H40" i="6"/>
  <c r="H39" i="6"/>
  <c r="H38" i="6"/>
  <c r="H37" i="6"/>
  <c r="H33" i="6"/>
  <c r="H32" i="6"/>
  <c r="H31" i="6"/>
  <c r="H30" i="6"/>
  <c r="H29" i="6"/>
  <c r="H28" i="6"/>
  <c r="H27" i="6"/>
  <c r="H26" i="6"/>
  <c r="H21" i="6"/>
  <c r="H20" i="6"/>
  <c r="F16" i="13"/>
  <c r="G42" i="6"/>
  <c r="G41" i="6"/>
  <c r="G40" i="6"/>
  <c r="G39" i="6"/>
  <c r="G38" i="6"/>
  <c r="G37" i="6"/>
  <c r="G33" i="6"/>
  <c r="G32" i="6"/>
  <c r="G31" i="6"/>
  <c r="G30" i="6"/>
  <c r="G29" i="6"/>
  <c r="G28" i="6"/>
  <c r="G27" i="6"/>
  <c r="G21" i="6"/>
  <c r="G20" i="6"/>
  <c r="F14" i="13"/>
  <c r="F42" i="6"/>
  <c r="F41" i="6"/>
  <c r="F40" i="6"/>
  <c r="F39" i="6"/>
  <c r="F38" i="6"/>
  <c r="F37" i="6"/>
  <c r="F33" i="6"/>
  <c r="F32" i="6"/>
  <c r="F31" i="6"/>
  <c r="F30" i="6"/>
  <c r="F29" i="6"/>
  <c r="F28" i="6"/>
  <c r="F27" i="6"/>
  <c r="F26" i="6"/>
  <c r="F21" i="6"/>
  <c r="F20" i="6"/>
  <c r="F12" i="13"/>
  <c r="E42" i="6"/>
  <c r="E41" i="6"/>
  <c r="E40" i="6"/>
  <c r="E39" i="6"/>
  <c r="E38" i="6"/>
  <c r="E37" i="6"/>
  <c r="E33" i="6"/>
  <c r="E32" i="6"/>
  <c r="E31" i="6"/>
  <c r="E30" i="6"/>
  <c r="E29" i="6"/>
  <c r="E28" i="6"/>
  <c r="E27" i="6"/>
  <c r="E21" i="6"/>
  <c r="E20" i="6"/>
  <c r="F10" i="13"/>
  <c r="D42" i="6"/>
  <c r="D41" i="6"/>
  <c r="D40" i="6"/>
  <c r="D39" i="6"/>
  <c r="D38" i="6"/>
  <c r="D37" i="6"/>
  <c r="D33" i="6"/>
  <c r="D32" i="6"/>
  <c r="D31" i="6"/>
  <c r="D30" i="6"/>
  <c r="D29" i="6"/>
  <c r="D28" i="6"/>
  <c r="D27" i="6"/>
  <c r="D21" i="6"/>
  <c r="D20" i="6"/>
  <c r="F8" i="13"/>
  <c r="C42" i="6"/>
  <c r="A42" i="6"/>
  <c r="C41" i="6"/>
  <c r="A41" i="6"/>
  <c r="C40" i="6"/>
  <c r="A40" i="6"/>
  <c r="C39" i="6"/>
  <c r="A39" i="6"/>
  <c r="C38" i="6"/>
  <c r="A38" i="6"/>
  <c r="C37" i="6"/>
  <c r="A37" i="6"/>
  <c r="C33" i="6"/>
  <c r="A33" i="6"/>
  <c r="C32" i="6"/>
  <c r="A32" i="6"/>
  <c r="C31" i="6"/>
  <c r="A31" i="6"/>
  <c r="C30" i="6"/>
  <c r="A30" i="6"/>
  <c r="C29" i="6"/>
  <c r="A29" i="6"/>
  <c r="C28" i="6"/>
  <c r="A28" i="6"/>
  <c r="C27" i="6"/>
  <c r="A27" i="6"/>
  <c r="C21" i="6"/>
  <c r="C20" i="6"/>
  <c r="V28" i="13"/>
  <c r="P28" i="13"/>
  <c r="J28" i="13"/>
  <c r="M53" i="6"/>
  <c r="M34" i="6"/>
  <c r="M16" i="6"/>
  <c r="M13" i="6"/>
  <c r="M12" i="6"/>
  <c r="M11" i="6"/>
  <c r="M10" i="6"/>
  <c r="M9" i="6"/>
  <c r="M8" i="6"/>
  <c r="M7" i="6"/>
  <c r="M6" i="6"/>
  <c r="M5" i="6"/>
  <c r="V26" i="13"/>
  <c r="P26" i="13"/>
  <c r="J26" i="13"/>
  <c r="L53" i="6"/>
  <c r="L34" i="6"/>
  <c r="L16" i="6"/>
  <c r="L13" i="6"/>
  <c r="L12" i="6"/>
  <c r="L11" i="6"/>
  <c r="L10" i="6"/>
  <c r="L9" i="6"/>
  <c r="L8" i="6"/>
  <c r="L7" i="6"/>
  <c r="L6" i="6"/>
  <c r="L5" i="6"/>
  <c r="V24" i="13"/>
  <c r="P24" i="13"/>
  <c r="J24" i="13"/>
  <c r="K53" i="6"/>
  <c r="K34" i="6"/>
  <c r="K16" i="6"/>
  <c r="K13" i="6"/>
  <c r="K12" i="6"/>
  <c r="K11" i="6"/>
  <c r="K10" i="6"/>
  <c r="K9" i="6"/>
  <c r="K8" i="6"/>
  <c r="K7" i="6"/>
  <c r="K6" i="6"/>
  <c r="K5" i="6"/>
  <c r="V22" i="13"/>
  <c r="P22" i="13"/>
  <c r="J22" i="13"/>
  <c r="J53" i="6"/>
  <c r="J34" i="6"/>
  <c r="J16" i="6"/>
  <c r="J13" i="6"/>
  <c r="J12" i="6"/>
  <c r="J11" i="6"/>
  <c r="J10" i="6"/>
  <c r="J9" i="6"/>
  <c r="J8" i="6"/>
  <c r="J7" i="6"/>
  <c r="J6" i="6"/>
  <c r="J5" i="6"/>
  <c r="V20" i="13"/>
  <c r="P20" i="13"/>
  <c r="J20" i="13"/>
  <c r="I53" i="6"/>
  <c r="I34" i="6"/>
  <c r="I16" i="6"/>
  <c r="I13" i="6"/>
  <c r="I12" i="6"/>
  <c r="I11" i="6"/>
  <c r="I10" i="6"/>
  <c r="I9" i="6"/>
  <c r="I8" i="6"/>
  <c r="I7" i="6"/>
  <c r="I6" i="6"/>
  <c r="I5" i="6"/>
  <c r="V18" i="13"/>
  <c r="P18" i="13"/>
  <c r="J18" i="13"/>
  <c r="H53" i="6"/>
  <c r="H34" i="6"/>
  <c r="H16" i="6"/>
  <c r="H13" i="6"/>
  <c r="H12" i="6"/>
  <c r="H11" i="6"/>
  <c r="H10" i="6"/>
  <c r="H9" i="6"/>
  <c r="H8" i="6"/>
  <c r="H7" i="6"/>
  <c r="H6" i="6"/>
  <c r="H5" i="6"/>
  <c r="V16" i="13"/>
  <c r="P16" i="13"/>
  <c r="J16" i="13"/>
  <c r="G53" i="6"/>
  <c r="G34" i="6"/>
  <c r="G16" i="6"/>
  <c r="G13" i="6"/>
  <c r="G12" i="6"/>
  <c r="G11" i="6"/>
  <c r="G10" i="6"/>
  <c r="G9" i="6"/>
  <c r="G8" i="6"/>
  <c r="G7" i="6"/>
  <c r="G6" i="6"/>
  <c r="G5" i="6"/>
  <c r="V14" i="13"/>
  <c r="P14" i="13"/>
  <c r="J14" i="13"/>
  <c r="F53" i="6"/>
  <c r="F34" i="6"/>
  <c r="F16" i="6"/>
  <c r="F13" i="6"/>
  <c r="F12" i="6"/>
  <c r="F11" i="6"/>
  <c r="F10" i="6"/>
  <c r="F9" i="6"/>
  <c r="F8" i="6"/>
  <c r="F7" i="6"/>
  <c r="F6" i="6"/>
  <c r="F5" i="6"/>
  <c r="V12" i="13"/>
  <c r="P12" i="13"/>
  <c r="J12" i="13"/>
  <c r="E53" i="6"/>
  <c r="E34" i="6"/>
  <c r="E16" i="6"/>
  <c r="E13" i="6"/>
  <c r="E12" i="6"/>
  <c r="E11" i="6"/>
  <c r="E10" i="6"/>
  <c r="E9" i="6"/>
  <c r="E8" i="6"/>
  <c r="E7" i="6"/>
  <c r="E6" i="6"/>
  <c r="E5" i="6"/>
  <c r="V10" i="13"/>
  <c r="P10" i="13"/>
  <c r="J10" i="13"/>
  <c r="D53" i="6"/>
  <c r="D34" i="6"/>
  <c r="D16" i="6"/>
  <c r="D13" i="6"/>
  <c r="D12" i="6"/>
  <c r="D11" i="6"/>
  <c r="D10" i="6"/>
  <c r="D9" i="6"/>
  <c r="D8" i="6"/>
  <c r="D7" i="6"/>
  <c r="D6" i="6"/>
  <c r="D5" i="6"/>
  <c r="V8" i="13"/>
  <c r="P8" i="13"/>
  <c r="J8" i="13"/>
  <c r="C53" i="6"/>
  <c r="C34" i="6"/>
  <c r="C16" i="6"/>
  <c r="C13" i="6"/>
  <c r="C12" i="6"/>
  <c r="A12" i="6"/>
  <c r="C11" i="6"/>
  <c r="A11" i="6"/>
  <c r="C10" i="6"/>
  <c r="A10" i="6"/>
  <c r="C9" i="6"/>
  <c r="A9" i="6"/>
  <c r="C8" i="6"/>
  <c r="A8" i="6"/>
  <c r="C7" i="6"/>
  <c r="A7" i="6"/>
  <c r="C6" i="6"/>
  <c r="A6" i="6"/>
  <c r="C5" i="6"/>
  <c r="A5" i="6"/>
  <c r="V30" i="13"/>
  <c r="P30" i="13"/>
  <c r="J30" i="13"/>
  <c r="E11" i="8"/>
  <c r="N53" i="6"/>
  <c r="N34" i="6"/>
  <c r="N16" i="6"/>
  <c r="N13" i="6"/>
  <c r="N12" i="6"/>
  <c r="N11" i="6"/>
  <c r="N10" i="6"/>
  <c r="N9" i="6"/>
  <c r="N8" i="6"/>
  <c r="N7" i="6"/>
  <c r="N6" i="6"/>
  <c r="N5" i="6"/>
  <c r="D231" i="16"/>
  <c r="O124" i="18"/>
  <c r="C38" i="14"/>
  <c r="N44" i="6"/>
  <c r="M44" i="6"/>
  <c r="L44" i="6"/>
  <c r="K44" i="6"/>
  <c r="J44" i="6"/>
  <c r="I44" i="6"/>
  <c r="H44" i="6"/>
  <c r="G44" i="6"/>
  <c r="F44" i="6"/>
  <c r="E44" i="6"/>
  <c r="D44" i="6"/>
  <c r="C44" i="6"/>
  <c r="N43" i="6"/>
  <c r="M43" i="6"/>
  <c r="L43" i="6"/>
  <c r="K43" i="6"/>
  <c r="J43" i="6"/>
  <c r="I43" i="6"/>
  <c r="H43" i="6"/>
  <c r="G43" i="6"/>
  <c r="F43" i="6"/>
  <c r="E43" i="6"/>
  <c r="D43" i="6"/>
  <c r="C43" i="6"/>
  <c r="O160" i="16"/>
  <c r="D152" i="16"/>
  <c r="D144" i="16" s="1"/>
  <c r="O144" i="16"/>
  <c r="O139" i="16"/>
  <c r="D139" i="16"/>
  <c r="O85" i="18"/>
  <c r="D85" i="18"/>
  <c r="O80" i="18"/>
  <c r="D80" i="18"/>
  <c r="N56" i="6"/>
  <c r="N52" i="6"/>
  <c r="N36" i="6"/>
  <c r="M56" i="6"/>
  <c r="M52" i="6"/>
  <c r="M36" i="6"/>
  <c r="L56" i="6"/>
  <c r="L52" i="6"/>
  <c r="L36" i="6"/>
  <c r="K56" i="6"/>
  <c r="K52" i="6"/>
  <c r="K36" i="6"/>
  <c r="J56" i="6"/>
  <c r="J52" i="6"/>
  <c r="J36" i="6"/>
  <c r="I56" i="6"/>
  <c r="I52" i="6"/>
  <c r="I36" i="6"/>
  <c r="H56" i="6"/>
  <c r="H52" i="6"/>
  <c r="H36" i="6"/>
  <c r="G56" i="6"/>
  <c r="G52" i="6"/>
  <c r="G36" i="6"/>
  <c r="F56" i="6"/>
  <c r="F52" i="6"/>
  <c r="F36" i="6"/>
  <c r="E56" i="6"/>
  <c r="E52" i="6"/>
  <c r="E36" i="6"/>
  <c r="D56" i="6"/>
  <c r="D52" i="6"/>
  <c r="D36" i="6"/>
  <c r="C56" i="6"/>
  <c r="C52" i="6"/>
  <c r="C36" i="6"/>
  <c r="N48" i="6"/>
  <c r="N35" i="6"/>
  <c r="M48" i="6"/>
  <c r="M35" i="6"/>
  <c r="L48" i="6"/>
  <c r="L35" i="6"/>
  <c r="K48" i="6"/>
  <c r="K35" i="6"/>
  <c r="J48" i="6"/>
  <c r="J35" i="6"/>
  <c r="I48" i="6"/>
  <c r="I35" i="6"/>
  <c r="H48" i="6"/>
  <c r="H35" i="6"/>
  <c r="G48" i="6"/>
  <c r="G35" i="6"/>
  <c r="F48" i="6"/>
  <c r="F35" i="6"/>
  <c r="E48" i="6"/>
  <c r="E35" i="6"/>
  <c r="D48" i="6"/>
  <c r="D35" i="6"/>
  <c r="C48" i="6"/>
  <c r="C35" i="6"/>
  <c r="C26" i="6" l="1"/>
  <c r="D26" i="6"/>
  <c r="G26" i="6"/>
  <c r="K26" i="6"/>
  <c r="M26" i="6"/>
  <c r="E26" i="6"/>
  <c r="B12" i="6"/>
  <c r="B9" i="6"/>
  <c r="B10" i="6"/>
  <c r="B11" i="6"/>
  <c r="B8" i="6"/>
  <c r="C8" i="8" l="1"/>
  <c r="S21" i="17" l="1"/>
  <c r="S16" i="17"/>
  <c r="D16" i="14" l="1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D222" i="16" l="1"/>
  <c r="N41" i="17"/>
  <c r="L14" i="15"/>
  <c r="R116" i="18"/>
  <c r="B52" i="6"/>
  <c r="Q192" i="16"/>
  <c r="L2" i="15"/>
  <c r="C2" i="8" s="1"/>
  <c r="C6" i="8" s="1"/>
  <c r="F216" i="16"/>
  <c r="D112" i="18"/>
  <c r="C16" i="14"/>
  <c r="B48" i="6"/>
  <c r="O38" i="18" s="1"/>
  <c r="B35" i="6"/>
  <c r="D98" i="16" s="1"/>
  <c r="B36" i="6"/>
  <c r="D102" i="16" s="1"/>
  <c r="B56" i="6"/>
  <c r="N16" i="13"/>
  <c r="H14" i="13"/>
  <c r="T14" i="13"/>
  <c r="T16" i="13" s="1"/>
  <c r="T18" i="13" s="1"/>
  <c r="T20" i="13" s="1"/>
  <c r="E33" i="14"/>
  <c r="C33" i="14" s="1"/>
  <c r="O55" i="16" l="1"/>
  <c r="T22" i="13"/>
  <c r="H16" i="13"/>
  <c r="N18" i="13"/>
  <c r="T24" i="13" l="1"/>
  <c r="N20" i="13"/>
  <c r="H18" i="13"/>
  <c r="T26" i="13" l="1"/>
  <c r="H20" i="13"/>
  <c r="N22" i="13"/>
  <c r="T28" i="13" l="1"/>
  <c r="H22" i="13"/>
  <c r="N24" i="13"/>
  <c r="N26" i="13" l="1"/>
  <c r="T30" i="13"/>
  <c r="H24" i="13"/>
  <c r="N28" i="13" l="1"/>
  <c r="H26" i="13"/>
  <c r="N30" i="13" l="1"/>
  <c r="H28" i="13"/>
  <c r="H30" i="13" l="1"/>
  <c r="B53" i="6" l="1"/>
  <c r="L7" i="14" l="1"/>
  <c r="L24" i="14" s="1"/>
  <c r="R18" i="13"/>
  <c r="R22" i="13"/>
  <c r="K7" i="14"/>
  <c r="K24" i="14" s="1"/>
  <c r="M7" i="14"/>
  <c r="M24" i="14" s="1"/>
  <c r="R24" i="13"/>
  <c r="L28" i="13"/>
  <c r="R26" i="13"/>
  <c r="L26" i="13"/>
  <c r="R30" i="13"/>
  <c r="L30" i="13"/>
  <c r="R28" i="13"/>
  <c r="G7" i="14"/>
  <c r="G24" i="14" s="1"/>
  <c r="E7" i="14"/>
  <c r="E24" i="14" s="1"/>
  <c r="H7" i="14"/>
  <c r="H24" i="14" s="1"/>
  <c r="F7" i="14"/>
  <c r="F24" i="14" s="1"/>
  <c r="J7" i="14"/>
  <c r="J24" i="14" s="1"/>
  <c r="I7" i="14"/>
  <c r="I24" i="14" s="1"/>
  <c r="O7" i="14"/>
  <c r="O24" i="14" s="1"/>
  <c r="N7" i="14"/>
  <c r="N24" i="14" s="1"/>
  <c r="L8" i="13" l="1"/>
  <c r="X20" i="13"/>
  <c r="R8" i="13"/>
  <c r="L14" i="13"/>
  <c r="X28" i="13"/>
  <c r="M14" i="6"/>
  <c r="L16" i="13"/>
  <c r="L22" i="13"/>
  <c r="X22" i="13"/>
  <c r="X16" i="13"/>
  <c r="R20" i="13"/>
  <c r="L20" i="13"/>
  <c r="X8" i="13"/>
  <c r="X14" i="13"/>
  <c r="R16" i="13"/>
  <c r="B13" i="6"/>
  <c r="L10" i="13"/>
  <c r="D7" i="14"/>
  <c r="B16" i="6"/>
  <c r="L12" i="13"/>
  <c r="L24" i="13"/>
  <c r="R12" i="13"/>
  <c r="R14" i="13"/>
  <c r="X12" i="13"/>
  <c r="X10" i="13"/>
  <c r="X26" i="13"/>
  <c r="L14" i="6"/>
  <c r="L18" i="13"/>
  <c r="N14" i="6"/>
  <c r="X30" i="13"/>
  <c r="R10" i="13"/>
  <c r="X24" i="13"/>
  <c r="X18" i="13"/>
  <c r="I14" i="6" l="1"/>
  <c r="I54" i="6" s="1"/>
  <c r="B34" i="6"/>
  <c r="D106" i="16" s="1"/>
  <c r="J14" i="6"/>
  <c r="J54" i="6" s="1"/>
  <c r="K14" i="6"/>
  <c r="L5" i="14" s="1"/>
  <c r="L21" i="14" s="1"/>
  <c r="L54" i="6"/>
  <c r="M5" i="14"/>
  <c r="M21" i="14" s="1"/>
  <c r="N54" i="6"/>
  <c r="O5" i="14"/>
  <c r="O21" i="14" s="1"/>
  <c r="E14" i="6"/>
  <c r="O204" i="16"/>
  <c r="O99" i="18"/>
  <c r="B7" i="6"/>
  <c r="N5" i="14"/>
  <c r="N21" i="14" s="1"/>
  <c r="M54" i="6"/>
  <c r="D24" i="14"/>
  <c r="C24" i="14" s="1"/>
  <c r="C7" i="14"/>
  <c r="H14" i="6"/>
  <c r="D14" i="6"/>
  <c r="B5" i="6"/>
  <c r="F14" i="6"/>
  <c r="J5" i="14"/>
  <c r="J21" i="14" s="1"/>
  <c r="G14" i="6"/>
  <c r="B6" i="6"/>
  <c r="C14" i="6"/>
  <c r="AB8" i="13"/>
  <c r="D8" i="13"/>
  <c r="C19" i="6" l="1"/>
  <c r="K54" i="6"/>
  <c r="K5" i="14"/>
  <c r="K21" i="14" s="1"/>
  <c r="Z8" i="13"/>
  <c r="D10" i="13" s="1"/>
  <c r="AB10" i="13"/>
  <c r="G5" i="14"/>
  <c r="G21" i="14" s="1"/>
  <c r="F54" i="6"/>
  <c r="B14" i="6"/>
  <c r="O60" i="18" s="1"/>
  <c r="D54" i="6"/>
  <c r="E5" i="14"/>
  <c r="E21" i="14" s="1"/>
  <c r="C54" i="6"/>
  <c r="D5" i="14"/>
  <c r="H54" i="6"/>
  <c r="I5" i="14"/>
  <c r="I21" i="14" s="1"/>
  <c r="F5" i="14"/>
  <c r="F21" i="14" s="1"/>
  <c r="E54" i="6"/>
  <c r="G54" i="6"/>
  <c r="H5" i="14"/>
  <c r="H21" i="14" s="1"/>
  <c r="D19" i="6" l="1"/>
  <c r="C5" i="14"/>
  <c r="D21" i="14"/>
  <c r="C21" i="14" s="1"/>
  <c r="O51" i="18"/>
  <c r="O46" i="18"/>
  <c r="D55" i="16"/>
  <c r="D38" i="18"/>
  <c r="D60" i="18"/>
  <c r="D55" i="18"/>
  <c r="O55" i="18"/>
  <c r="D51" i="18"/>
  <c r="D64" i="18"/>
  <c r="D46" i="18"/>
  <c r="Z10" i="13"/>
  <c r="D12" i="13" s="1"/>
  <c r="AB12" i="13"/>
  <c r="B54" i="6"/>
  <c r="E19" i="6" l="1"/>
  <c r="AB14" i="13"/>
  <c r="F19" i="6" s="1"/>
  <c r="Z12" i="13"/>
  <c r="D14" i="13" s="1"/>
  <c r="A33" i="18"/>
  <c r="F26" i="14"/>
  <c r="E22" i="14"/>
  <c r="E26" i="14"/>
  <c r="J30" i="14"/>
  <c r="O26" i="14"/>
  <c r="D30" i="14"/>
  <c r="N22" i="14"/>
  <c r="M30" i="14"/>
  <c r="G30" i="14"/>
  <c r="N30" i="14"/>
  <c r="G26" i="14"/>
  <c r="L30" i="14"/>
  <c r="K26" i="14"/>
  <c r="H30" i="14"/>
  <c r="I26" i="14"/>
  <c r="J26" i="14"/>
  <c r="I22" i="14"/>
  <c r="L26" i="14"/>
  <c r="K30" i="14"/>
  <c r="L22" i="14"/>
  <c r="D22" i="14"/>
  <c r="M22" i="14"/>
  <c r="I30" i="14"/>
  <c r="E30" i="14"/>
  <c r="H22" i="14"/>
  <c r="F22" i="14"/>
  <c r="D26" i="14"/>
  <c r="F30" i="14"/>
  <c r="J22" i="14"/>
  <c r="M26" i="14"/>
  <c r="K22" i="14"/>
  <c r="H26" i="14"/>
  <c r="G22" i="14"/>
  <c r="N26" i="14"/>
  <c r="O30" i="14"/>
  <c r="O22" i="14"/>
  <c r="O28" i="14" l="1"/>
  <c r="O32" i="14" s="1"/>
  <c r="O34" i="14" s="1"/>
  <c r="K28" i="14"/>
  <c r="K32" i="14" s="1"/>
  <c r="K34" i="14" s="1"/>
  <c r="G28" i="14"/>
  <c r="G32" i="14" s="1"/>
  <c r="G34" i="14" s="1"/>
  <c r="F28" i="14"/>
  <c r="F32" i="14" s="1"/>
  <c r="F34" i="14" s="1"/>
  <c r="E28" i="14"/>
  <c r="E32" i="14" s="1"/>
  <c r="E34" i="14" s="1"/>
  <c r="H28" i="14"/>
  <c r="H32" i="14" s="1"/>
  <c r="H34" i="14" s="1"/>
  <c r="I28" i="14"/>
  <c r="I32" i="14" s="1"/>
  <c r="I34" i="14" s="1"/>
  <c r="C26" i="14"/>
  <c r="N28" i="14"/>
  <c r="N32" i="14" s="1"/>
  <c r="N34" i="14" s="1"/>
  <c r="M28" i="14"/>
  <c r="M32" i="14" s="1"/>
  <c r="M34" i="14" s="1"/>
  <c r="C30" i="14"/>
  <c r="J28" i="14"/>
  <c r="J32" i="14" s="1"/>
  <c r="J34" i="14" s="1"/>
  <c r="D28" i="14"/>
  <c r="C22" i="14"/>
  <c r="L28" i="14"/>
  <c r="L32" i="14" s="1"/>
  <c r="L34" i="14" s="1"/>
  <c r="Z14" i="13"/>
  <c r="D16" i="13" s="1"/>
  <c r="AB16" i="13"/>
  <c r="G19" i="6" l="1"/>
  <c r="AB18" i="13"/>
  <c r="Z16" i="13"/>
  <c r="D18" i="13" s="1"/>
  <c r="C28" i="14"/>
  <c r="D32" i="14"/>
  <c r="H19" i="6" l="1"/>
  <c r="AB20" i="13"/>
  <c r="I19" i="6" s="1"/>
  <c r="Z18" i="13"/>
  <c r="D20" i="13" s="1"/>
  <c r="D34" i="14"/>
  <c r="C34" i="14" s="1"/>
  <c r="C32" i="14"/>
  <c r="Z20" i="13" l="1"/>
  <c r="D22" i="13" s="1"/>
  <c r="AB22" i="13"/>
  <c r="J19" i="6" s="1"/>
  <c r="Z22" i="13" l="1"/>
  <c r="D24" i="13" s="1"/>
  <c r="AB24" i="13"/>
  <c r="K19" i="6" l="1"/>
  <c r="AB26" i="13"/>
  <c r="Z24" i="13"/>
  <c r="D26" i="13" s="1"/>
  <c r="L19" i="6" l="1"/>
  <c r="Z26" i="13"/>
  <c r="D28" i="13" s="1"/>
  <c r="AB28" i="13"/>
  <c r="M19" i="6" l="1"/>
  <c r="Z28" i="13"/>
  <c r="D30" i="13" s="1"/>
  <c r="AB30" i="13"/>
  <c r="N19" i="6" s="1"/>
  <c r="Z30" i="13" l="1"/>
  <c r="M22" i="6" l="1"/>
  <c r="N9" i="14" s="1"/>
  <c r="N11" i="14" s="1"/>
  <c r="G22" i="6"/>
  <c r="H9" i="14" s="1"/>
  <c r="H11" i="14" s="1"/>
  <c r="J22" i="6"/>
  <c r="K9" i="14" s="1"/>
  <c r="K11" i="14" s="1"/>
  <c r="N22" i="6"/>
  <c r="O9" i="14" s="1"/>
  <c r="O11" i="14" s="1"/>
  <c r="M24" i="6"/>
  <c r="G24" i="6"/>
  <c r="L22" i="6"/>
  <c r="I22" i="6"/>
  <c r="K22" i="6"/>
  <c r="H22" i="6"/>
  <c r="F22" i="6"/>
  <c r="B33" i="6"/>
  <c r="D110" i="16" s="1"/>
  <c r="J24" i="6" l="1"/>
  <c r="B28" i="6"/>
  <c r="D86" i="16" s="1"/>
  <c r="B31" i="6"/>
  <c r="B42" i="6"/>
  <c r="N24" i="6"/>
  <c r="B27" i="6"/>
  <c r="D82" i="16" s="1"/>
  <c r="B32" i="6"/>
  <c r="D94" i="16" s="1"/>
  <c r="C22" i="6"/>
  <c r="B19" i="6"/>
  <c r="B20" i="6"/>
  <c r="D70" i="16" s="1"/>
  <c r="E22" i="6"/>
  <c r="G9" i="14"/>
  <c r="G11" i="14" s="1"/>
  <c r="F24" i="6"/>
  <c r="B26" i="6"/>
  <c r="D74" i="16" s="1"/>
  <c r="D22" i="6"/>
  <c r="L24" i="6"/>
  <c r="M9" i="14"/>
  <c r="M11" i="14" s="1"/>
  <c r="B21" i="6"/>
  <c r="B29" i="6"/>
  <c r="D90" i="16" s="1"/>
  <c r="H24" i="6"/>
  <c r="I9" i="14"/>
  <c r="I11" i="14" s="1"/>
  <c r="K24" i="6"/>
  <c r="L9" i="14"/>
  <c r="L11" i="14" s="1"/>
  <c r="J9" i="14"/>
  <c r="J11" i="14" s="1"/>
  <c r="I24" i="6"/>
  <c r="B39" i="6" l="1"/>
  <c r="B38" i="6"/>
  <c r="E9" i="14"/>
  <c r="E11" i="14" s="1"/>
  <c r="D24" i="6"/>
  <c r="E24" i="6"/>
  <c r="F9" i="14"/>
  <c r="F11" i="14" s="1"/>
  <c r="B41" i="6"/>
  <c r="B40" i="6"/>
  <c r="D66" i="16"/>
  <c r="B22" i="6"/>
  <c r="B24" i="6" s="1"/>
  <c r="B37" i="6"/>
  <c r="D9" i="14"/>
  <c r="C24" i="6"/>
  <c r="D118" i="16" l="1"/>
  <c r="D11" i="14"/>
  <c r="C11" i="14" s="1"/>
  <c r="C9" i="14"/>
  <c r="O149" i="16" l="1"/>
  <c r="O169" i="16" s="1"/>
  <c r="B44" i="6" l="1"/>
  <c r="O122" i="16" s="1"/>
  <c r="D174" i="16" s="1"/>
  <c r="B43" i="6"/>
  <c r="O114" i="16" l="1"/>
  <c r="C37" i="14"/>
  <c r="C39" i="14" s="1"/>
  <c r="C41" i="14" s="1"/>
  <c r="D114" i="16"/>
  <c r="C44" i="14" l="1"/>
  <c r="C42" i="14"/>
  <c r="C43" i="14"/>
  <c r="C46" i="14" l="1"/>
  <c r="D45" i="6" l="1"/>
  <c r="C45" i="6" l="1"/>
  <c r="E13" i="14"/>
  <c r="E15" i="14" s="1"/>
  <c r="E17" i="14" s="1"/>
  <c r="D47" i="6"/>
  <c r="D49" i="6" s="1"/>
  <c r="D55" i="6" s="1"/>
  <c r="E45" i="6"/>
  <c r="F13" i="14" l="1"/>
  <c r="F15" i="14" s="1"/>
  <c r="F17" i="14" s="1"/>
  <c r="E47" i="6"/>
  <c r="E49" i="6" s="1"/>
  <c r="E55" i="6" s="1"/>
  <c r="D13" i="14"/>
  <c r="C47" i="6"/>
  <c r="C49" i="6" s="1"/>
  <c r="C55" i="6" s="1"/>
  <c r="F45" i="6"/>
  <c r="F47" i="6" l="1"/>
  <c r="F49" i="6" s="1"/>
  <c r="F55" i="6" s="1"/>
  <c r="G13" i="14"/>
  <c r="G15" i="14" s="1"/>
  <c r="G17" i="14" s="1"/>
  <c r="D15" i="14"/>
  <c r="G45" i="6"/>
  <c r="H13" i="14" l="1"/>
  <c r="G47" i="6"/>
  <c r="G49" i="6" s="1"/>
  <c r="G55" i="6" s="1"/>
  <c r="D17" i="14"/>
  <c r="H45" i="6"/>
  <c r="I13" i="14" l="1"/>
  <c r="I15" i="14" s="1"/>
  <c r="I17" i="14" s="1"/>
  <c r="H47" i="6"/>
  <c r="H49" i="6" s="1"/>
  <c r="H55" i="6" s="1"/>
  <c r="H15" i="14"/>
  <c r="I45" i="6"/>
  <c r="H17" i="14" l="1"/>
  <c r="I47" i="6"/>
  <c r="I49" i="6" s="1"/>
  <c r="I55" i="6" s="1"/>
  <c r="J13" i="14"/>
  <c r="J45" i="6"/>
  <c r="J15" i="14" l="1"/>
  <c r="K13" i="14"/>
  <c r="K15" i="14" s="1"/>
  <c r="K17" i="14" s="1"/>
  <c r="J47" i="6"/>
  <c r="J49" i="6" s="1"/>
  <c r="J55" i="6" s="1"/>
  <c r="K45" i="6"/>
  <c r="K47" i="6" l="1"/>
  <c r="K49" i="6" s="1"/>
  <c r="K55" i="6" s="1"/>
  <c r="L13" i="14"/>
  <c r="L15" i="14" s="1"/>
  <c r="L17" i="14" s="1"/>
  <c r="J17" i="14"/>
  <c r="L45" i="6"/>
  <c r="M13" i="14" l="1"/>
  <c r="L47" i="6"/>
  <c r="L49" i="6" s="1"/>
  <c r="L55" i="6" s="1"/>
  <c r="M45" i="6"/>
  <c r="N13" i="14" l="1"/>
  <c r="N15" i="14" s="1"/>
  <c r="N17" i="14" s="1"/>
  <c r="M47" i="6"/>
  <c r="M49" i="6" s="1"/>
  <c r="M55" i="6" s="1"/>
  <c r="M15" i="14"/>
  <c r="M17" i="14" l="1"/>
  <c r="N45" i="6"/>
  <c r="B30" i="6"/>
  <c r="D78" i="16" l="1"/>
  <c r="B45" i="6"/>
  <c r="N47" i="6"/>
  <c r="N49" i="6" s="1"/>
  <c r="N55" i="6" s="1"/>
  <c r="B55" i="6" s="1"/>
  <c r="O13" i="14"/>
  <c r="O15" i="14" l="1"/>
  <c r="C13" i="14"/>
  <c r="D122" i="16"/>
  <c r="O64" i="18"/>
  <c r="B47" i="6"/>
  <c r="B49" i="6" s="1"/>
  <c r="D71" i="18" l="1"/>
  <c r="O71" i="18"/>
  <c r="O129" i="16"/>
  <c r="D129" i="16"/>
  <c r="O17" i="14"/>
  <c r="C17" i="14" s="1"/>
  <c r="C15" i="14"/>
  <c r="O106" i="18" l="1"/>
  <c r="O94" i="18" s="1"/>
  <c r="D55" i="17" s="1"/>
  <c r="O55" i="17" s="1"/>
  <c r="D124" i="18" s="1"/>
  <c r="O174" i="16"/>
  <c r="O179" i="16" s="1"/>
  <c r="D219" i="16" s="1"/>
  <c r="O224" i="16" s="1"/>
  <c r="D99" i="18"/>
  <c r="D106" i="18" l="1"/>
  <c r="O194" i="16"/>
  <c r="O199" i="16" s="1"/>
  <c r="O210" i="16" s="1"/>
  <c r="E5" i="8" s="1"/>
  <c r="E16" i="8" s="1"/>
  <c r="E15" i="8" l="1"/>
  <c r="E6" i="8"/>
  <c r="E7" i="8" s="1"/>
  <c r="E8" i="8" s="1"/>
  <c r="E9" i="8" l="1"/>
  <c r="E10" i="8" s="1"/>
  <c r="E18" i="8" s="1"/>
  <c r="E25" i="8" s="1"/>
  <c r="E26" i="8" s="1"/>
  <c r="E27" i="8" l="1"/>
</calcChain>
</file>

<file path=xl/sharedStrings.xml><?xml version="1.0" encoding="utf-8"?>
<sst xmlns="http://schemas.openxmlformats.org/spreadsheetml/2006/main" count="749" uniqueCount="398">
  <si>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</si>
  <si>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</si>
  <si>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</si>
  <si>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</si>
  <si>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</si>
  <si>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</si>
  <si>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</si>
  <si>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</si>
  <si>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</si>
  <si>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</si>
  <si>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</si>
  <si>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</si>
  <si>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</si>
  <si>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</si>
  <si>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</si>
  <si>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</si>
  <si>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</si>
  <si>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</si>
  <si>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</si>
  <si>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</si>
  <si>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</si>
  <si>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</si>
  <si>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</si>
  <si>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</si>
  <si>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</si>
  <si>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</si>
  <si>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</si>
  <si>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</si>
  <si>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</si>
  <si>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</si>
  <si>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</si>
  <si>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</si>
  <si>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</si>
  <si>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</si>
  <si>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</si>
  <si>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</si>
  <si>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</si>
  <si>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</si>
  <si>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</si>
  <si>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</si>
  <si>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</si>
  <si>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</si>
  <si>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</si>
  <si>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</si>
  <si>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</si>
  <si>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</si>
  <si>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</si>
  <si>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</si>
  <si>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</si>
  <si>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</si>
  <si>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</si>
  <si>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</si>
  <si>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</si>
  <si>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</si>
  <si>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</si>
  <si>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</si>
  <si>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</si>
  <si>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</si>
  <si>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</si>
  <si>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Bad Debts written off</t>
  </si>
  <si>
    <t>Bank Interest Paid</t>
  </si>
  <si>
    <t>Operating Profit</t>
  </si>
  <si>
    <t>Interest received</t>
  </si>
  <si>
    <t>Profit (Loss) before Tax</t>
  </si>
  <si>
    <t>HP Interest Lease Bank Charges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</si>
  <si>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</si>
  <si>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</si>
  <si>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</si>
  <si>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</si>
  <si>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</si>
  <si>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</si>
  <si>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</si>
  <si>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</si>
  <si>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</si>
  <si>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</si>
  <si>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</si>
  <si>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</si>
  <si>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</si>
  <si>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</si>
  <si>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</si>
  <si>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</si>
  <si>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</si>
  <si>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</si>
  <si>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</si>
  <si>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</si>
  <si>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</si>
  <si>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</si>
  <si>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</si>
  <si>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</si>
  <si>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</si>
  <si>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</si>
  <si>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</si>
  <si>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</si>
  <si>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</si>
  <si>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</si>
  <si>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</si>
  <si>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</si>
  <si>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</si>
  <si>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</si>
  <si>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</si>
  <si>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</si>
  <si>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</si>
  <si>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</si>
  <si>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</si>
  <si>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</si>
  <si>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</si>
  <si>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</si>
  <si>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</si>
  <si>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</si>
  <si>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</si>
  <si>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</si>
  <si>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</si>
  <si>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</si>
  <si>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</si>
  <si>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</si>
  <si>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</si>
  <si>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</si>
  <si>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</si>
  <si>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</si>
  <si>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</si>
  <si>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</si>
  <si>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</si>
  <si>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</si>
  <si>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</si>
  <si>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</si>
  <si>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</si>
  <si>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</si>
  <si>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</si>
  <si>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</si>
  <si>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</si>
  <si>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</si>
  <si>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</si>
  <si>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</si>
  <si>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</si>
  <si>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</si>
  <si>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</si>
  <si>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</si>
  <si>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</si>
  <si>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</si>
  <si>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</si>
  <si>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</si>
  <si>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</si>
  <si>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</si>
  <si>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</si>
  <si>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</si>
  <si>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</si>
  <si>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</si>
  <si>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</si>
  <si>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</si>
  <si>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</si>
  <si>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</si>
  <si>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</si>
  <si>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</si>
  <si>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</si>
  <si>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</si>
  <si>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</si>
  <si>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</si>
  <si>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</si>
  <si>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</si>
  <si>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</si>
  <si>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</si>
  <si>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</si>
  <si>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</si>
  <si>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</si>
  <si>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</si>
  <si>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</si>
  <si>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</si>
  <si>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</si>
  <si>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</si>
  <si>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</si>
  <si>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</si>
  <si>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</si>
  <si>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</si>
  <si>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</si>
  <si>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</si>
  <si>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</si>
  <si>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</si>
  <si>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</si>
  <si>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</si>
  <si>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</si>
  <si>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</si>
  <si>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</si>
  <si>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</si>
  <si>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</si>
  <si>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</si>
  <si>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</si>
  <si>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</si>
  <si>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</si>
  <si>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</si>
  <si>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</si>
  <si>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</si>
  <si>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</si>
  <si>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</si>
  <si>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</si>
  <si>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</si>
  <si>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</si>
  <si>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</si>
  <si>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</si>
  <si>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</si>
  <si>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</si>
  <si>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</si>
  <si>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</si>
  <si>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</si>
  <si>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</si>
  <si>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</si>
  <si>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</si>
  <si>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</si>
  <si>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</si>
  <si>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</si>
  <si>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</si>
  <si>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</si>
  <si>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</si>
  <si>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</si>
  <si>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</si>
  <si>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</si>
  <si>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</si>
  <si>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</si>
  <si>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</si>
  <si>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</si>
  <si>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</si>
  <si>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</si>
  <si>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</si>
  <si>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</si>
  <si>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</si>
  <si>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</si>
  <si>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</si>
  <si>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</si>
  <si>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</si>
  <si>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</si>
  <si>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</si>
  <si>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</si>
  <si>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</si>
  <si>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</si>
  <si>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</si>
  <si>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</si>
  <si>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</si>
  <si>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</si>
  <si>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</si>
  <si>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</si>
  <si>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</si>
  <si>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</si>
  <si>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</si>
  <si>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</si>
  <si>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</si>
  <si>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</si>
  <si>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</si>
  <si>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</si>
  <si>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</si>
  <si>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</si>
  <si>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</si>
  <si>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</si>
  <si>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</si>
  <si>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</si>
  <si>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</si>
  <si>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</si>
  <si>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</si>
  <si>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</si>
  <si>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</si>
  <si>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</si>
  <si>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</si>
  <si>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</si>
  <si>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</si>
  <si>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</si>
  <si>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</si>
  <si>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</si>
  <si>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</si>
  <si>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</si>
  <si>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</si>
  <si>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</si>
  <si>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</si>
  <si>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</si>
  <si>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</si>
  <si>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</si>
  <si>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</si>
  <si>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</si>
  <si>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</si>
  <si>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</si>
  <si>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</si>
  <si>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</si>
  <si>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</si>
  <si>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</si>
  <si>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</si>
  <si>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</si>
  <si>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</si>
  <si>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</si>
  <si>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</si>
  <si>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</si>
  <si>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</si>
  <si>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</si>
  <si>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</si>
  <si>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</si>
  <si>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</si>
  <si>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</si>
  <si>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</si>
  <si>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</si>
  <si>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</si>
  <si>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</si>
  <si>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</si>
  <si>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</si>
  <si>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</si>
  <si>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</si>
  <si>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</si>
  <si>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</si>
  <si>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</si>
  <si>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</si>
  <si>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</si>
  <si>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</si>
  <si>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</si>
  <si>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</si>
  <si>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</si>
  <si>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</si>
  <si>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</si>
  <si>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</si>
  <si>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</si>
  <si>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</si>
  <si>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</si>
  <si>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</si>
  <si>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</si>
  <si>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</si>
  <si>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</si>
  <si>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</si>
  <si>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</si>
  <si>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</si>
  <si>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</si>
  <si>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</si>
  <si>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</si>
  <si>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</si>
  <si>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</si>
  <si>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</si>
  <si>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</si>
  <si>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</si>
  <si>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</si>
  <si>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</si>
  <si>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</si>
  <si>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</si>
  <si>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</si>
  <si>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</si>
  <si>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</si>
  <si>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</si>
  <si>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</si>
  <si>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</si>
  <si>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</si>
  <si>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</si>
  <si>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</si>
  <si>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</si>
  <si>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</si>
  <si>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</si>
  <si>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</si>
  <si>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</si>
  <si>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</si>
  <si>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</si>
  <si>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</si>
  <si>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</si>
  <si>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</si>
  <si>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</si>
  <si>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</si>
  <si>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</si>
  <si>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</si>
  <si>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</si>
  <si>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</si>
  <si>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</si>
  <si>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</si>
  <si>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</si>
  <si>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</si>
  <si>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</si>
  <si>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</si>
  <si>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</si>
  <si>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</si>
  <si>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</si>
  <si>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</si>
  <si>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</si>
  <si>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</si>
  <si>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</si>
  <si>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</si>
  <si>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</si>
  <si>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</si>
  <si>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</si>
  <si>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</si>
  <si>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</si>
  <si>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</si>
  <si>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</si>
  <si>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</si>
  <si>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</si>
  <si>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</si>
  <si>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</si>
  <si>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</si>
  <si>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</si>
  <si>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</si>
  <si>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</si>
  <si>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</si>
  <si>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</si>
  <si>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</si>
  <si>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</si>
  <si>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</si>
  <si>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</si>
  <si>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2024-25</t>
  </si>
  <si>
    <t>COPY DETAILS TO HMRC FORM          Submit HMRC RETURN ONLINE                   by 31st January 2025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</si>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</sst>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6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3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26" fillId="0" borderId="36" xfId="0" applyFont="1" applyBorder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  <row r="3">
          <cell r="P3" t="str">
            <v>Product A Sales</v>
          </cell>
          <cell r="Q3" t="str">
            <v>Product B Sales</v>
          </cell>
          <cell r="R3" t="str">
            <v>Product C Sales</v>
          </cell>
          <cell r="S3" t="str">
            <v>Product 4 Sales</v>
          </cell>
          <cell r="T3" t="str">
            <v>Product 5 Sales</v>
          </cell>
          <cell r="U3" t="str">
            <v>Product 6 Sales</v>
          </cell>
          <cell r="V3" t="str">
            <v>Product 7 Sales</v>
          </cell>
          <cell r="W3" t="str">
            <v>Product 8 Sales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  <cell r="AC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  <row r="2">
          <cell r="U2" t="str">
            <v>Repairs and Renewals</v>
          </cell>
          <cell r="V2" t="str">
            <v>Post and Stationery</v>
          </cell>
          <cell r="X2" t="str">
            <v>Travelling and Subsistence</v>
          </cell>
          <cell r="Y2" t="str">
            <v>Advertising</v>
          </cell>
          <cell r="Z2" t="str">
            <v>Accountancy and Legal Costs</v>
          </cell>
          <cell r="AA2" t="str">
            <v>Research and Reference Costs</v>
          </cell>
          <cell r="AB2" t="str">
            <v xml:space="preserve">Telephone Broadband and Media </v>
          </cell>
          <cell r="AC2" t="str">
            <v xml:space="preserve">Computer Consumables </v>
          </cell>
          <cell r="AD2" t="str">
            <v xml:space="preserve">Subscriptions </v>
          </cell>
          <cell r="AE2" t="str">
            <v xml:space="preserve">Sundry Expenses </v>
          </cell>
          <cell r="AF2" t="str">
            <v>Other Expenses</v>
          </cell>
        </row>
        <row r="3">
          <cell r="T3" t="str">
            <v>Use of Residence</v>
          </cell>
          <cell r="W3" t="str">
            <v>Motor Vehicle Expenses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7" t="s">
        <v>135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9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136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137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09"/>
      <c r="D5" s="310"/>
      <c r="E5" s="310"/>
      <c r="F5" s="310"/>
      <c r="G5" s="310"/>
      <c r="H5" s="310"/>
      <c r="I5" s="310"/>
      <c r="J5" s="311"/>
      <c r="K5" s="181"/>
      <c r="L5" s="181"/>
      <c r="M5" s="181"/>
      <c r="N5" s="181"/>
      <c r="O5" s="309"/>
      <c r="P5" s="311"/>
      <c r="Q5" s="181"/>
      <c r="R5" s="309"/>
      <c r="S5" s="310"/>
      <c r="T5" s="310"/>
      <c r="U5" s="311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09"/>
      <c r="D7" s="310"/>
      <c r="E7" s="310"/>
      <c r="F7" s="310"/>
      <c r="G7" s="310"/>
      <c r="H7" s="310"/>
      <c r="I7" s="310"/>
      <c r="J7" s="311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15" t="s">
        <v>18</v>
      </c>
      <c r="B9" s="315"/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6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138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139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09"/>
      <c r="D12" s="310"/>
      <c r="E12" s="310"/>
      <c r="F12" s="310"/>
      <c r="G12" s="310"/>
      <c r="H12" s="310"/>
      <c r="I12" s="310"/>
      <c r="J12" s="311"/>
      <c r="K12" s="181"/>
      <c r="L12" s="181"/>
      <c r="M12" s="181"/>
      <c r="N12" s="195" t="s">
        <v>140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141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09"/>
      <c r="D14" s="310"/>
      <c r="E14" s="310"/>
      <c r="F14" s="310"/>
      <c r="G14" s="310"/>
      <c r="H14" s="310"/>
      <c r="I14" s="310"/>
      <c r="J14" s="311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142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143</v>
      </c>
      <c r="O16" s="182"/>
      <c r="P16" s="182"/>
      <c r="Q16" s="182"/>
      <c r="R16" s="181"/>
      <c r="S16" s="312">
        <f>Admin!B4</f>
        <v>45388</v>
      </c>
      <c r="T16" s="313"/>
      <c r="U16" s="313"/>
      <c r="V16" s="313"/>
      <c r="W16" s="187"/>
    </row>
    <row r="17" spans="1:23" ht="15" customHeight="1" x14ac:dyDescent="0.15">
      <c r="A17" s="185"/>
      <c r="B17" s="181"/>
      <c r="C17" s="309"/>
      <c r="D17" s="310"/>
      <c r="E17" s="310"/>
      <c r="F17" s="310"/>
      <c r="G17" s="310"/>
      <c r="H17" s="310"/>
      <c r="I17" s="310"/>
      <c r="J17" s="311"/>
      <c r="K17" s="181"/>
      <c r="L17" s="181"/>
      <c r="M17" s="181"/>
      <c r="N17" s="182" t="s">
        <v>144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09"/>
      <c r="D19" s="310"/>
      <c r="E19" s="310"/>
      <c r="F19" s="310"/>
      <c r="G19" s="310"/>
      <c r="H19" s="310"/>
      <c r="I19" s="310"/>
      <c r="J19" s="311"/>
      <c r="K19" s="181"/>
      <c r="L19" s="181"/>
      <c r="M19" s="181"/>
      <c r="N19" s="300"/>
      <c r="O19" s="301"/>
      <c r="P19" s="301"/>
      <c r="Q19" s="302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09"/>
      <c r="D21" s="310"/>
      <c r="E21" s="310"/>
      <c r="F21" s="310"/>
      <c r="G21" s="310"/>
      <c r="H21" s="310"/>
      <c r="I21" s="310"/>
      <c r="J21" s="311"/>
      <c r="K21" s="181"/>
      <c r="L21" s="194">
        <v>7</v>
      </c>
      <c r="M21" s="181"/>
      <c r="N21" s="182" t="s">
        <v>145</v>
      </c>
      <c r="O21" s="182"/>
      <c r="P21" s="182"/>
      <c r="Q21" s="182"/>
      <c r="R21" s="181"/>
      <c r="S21" s="312">
        <f>Admin!B17</f>
        <v>45752</v>
      </c>
      <c r="T21" s="313"/>
      <c r="U21" s="313"/>
      <c r="V21" s="313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14" t="s">
        <v>146</v>
      </c>
      <c r="O22" s="314"/>
      <c r="P22" s="314"/>
      <c r="Q22" s="314"/>
      <c r="R22" s="314"/>
      <c r="S22" s="314"/>
      <c r="T22" s="314"/>
      <c r="U22" s="314"/>
      <c r="V22" s="314"/>
      <c r="W22" s="199"/>
    </row>
    <row r="23" spans="1:23" x14ac:dyDescent="0.15">
      <c r="A23" s="194">
        <v>3</v>
      </c>
      <c r="B23" s="181"/>
      <c r="C23" s="182" t="s">
        <v>147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14"/>
      <c r="O23" s="314"/>
      <c r="P23" s="314"/>
      <c r="Q23" s="314"/>
      <c r="R23" s="314"/>
      <c r="S23" s="314"/>
      <c r="T23" s="314"/>
      <c r="U23" s="314"/>
      <c r="V23" s="314"/>
      <c r="W23" s="199"/>
    </row>
    <row r="24" spans="1:23" ht="14" x14ac:dyDescent="0.15">
      <c r="A24" s="185"/>
      <c r="B24" s="181"/>
      <c r="C24" s="200" t="s">
        <v>148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00"/>
      <c r="O24" s="301"/>
      <c r="P24" s="301"/>
      <c r="Q24" s="302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09"/>
      <c r="D25" s="310"/>
      <c r="E25" s="310"/>
      <c r="F25" s="310"/>
      <c r="G25" s="310"/>
      <c r="H25" s="310"/>
      <c r="I25" s="310"/>
      <c r="J25" s="311"/>
      <c r="K25" s="181"/>
      <c r="L25" s="194">
        <v>8</v>
      </c>
      <c r="M25" s="181"/>
      <c r="N25" s="182" t="s">
        <v>149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150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09"/>
      <c r="D27" s="310"/>
      <c r="E27" s="310"/>
      <c r="F27" s="310"/>
      <c r="G27" s="310"/>
      <c r="H27" s="310"/>
      <c r="I27" s="310"/>
      <c r="J27" s="311"/>
      <c r="K27" s="181"/>
      <c r="L27" s="181"/>
      <c r="M27" s="181"/>
      <c r="N27" s="300"/>
      <c r="O27" s="301"/>
      <c r="P27" s="301"/>
      <c r="Q27" s="302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151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152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295"/>
      <c r="D30" s="296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153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154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00">
        <f>Admin!B17</f>
        <v>45752</v>
      </c>
      <c r="O32" s="301"/>
      <c r="P32" s="301"/>
      <c r="Q32" s="302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03" t="s">
        <v>155</v>
      </c>
      <c r="B34" s="303"/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156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157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158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159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160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2024-25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162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163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159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164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165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166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04">
        <v>0</v>
      </c>
      <c r="E50" s="305"/>
      <c r="F50" s="306"/>
      <c r="G50" s="210" t="s">
        <v>167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04"/>
      <c r="P50" s="307"/>
      <c r="Q50" s="308"/>
      <c r="R50" s="210" t="s">
        <v>167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168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169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170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170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297">
        <f>'SE Short'!O94</f>
        <v>0</v>
      </c>
      <c r="E55" s="298"/>
      <c r="F55" s="299"/>
      <c r="G55" s="210" t="s">
        <v>167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297">
        <f>D50-D55+'SE Short'!O106</f>
        <v>0</v>
      </c>
      <c r="P55" s="298"/>
      <c r="Q55" s="299"/>
      <c r="R55" s="210" t="s">
        <v>167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A9:W9"/>
    <mergeCell ref="A1:W1"/>
    <mergeCell ref="C5:J5"/>
    <mergeCell ref="O5:P5"/>
    <mergeCell ref="R5:U5"/>
    <mergeCell ref="C7:J7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30:D30"/>
    <mergeCell ref="D55:F55"/>
    <mergeCell ref="O55:Q55"/>
    <mergeCell ref="N32:Q32"/>
    <mergeCell ref="A34:W34"/>
    <mergeCell ref="D50:F50"/>
    <mergeCell ref="O50:Q50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3.83203125" style="221" customWidth="1"/>
    <col min="21" max="21" width="2.6640625" style="221" customWidth="1"/>
    <col min="22" max="22" width="7.664062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50" t="s">
        <v>295</v>
      </c>
      <c r="B1" s="351"/>
      <c r="C1" s="351"/>
      <c r="D1" s="351"/>
      <c r="E1" s="351"/>
      <c r="F1" s="351"/>
      <c r="G1" s="352" t="s">
        <v>396</v>
      </c>
      <c r="H1" s="353"/>
      <c r="I1" s="353"/>
      <c r="J1" s="353"/>
      <c r="K1" s="353"/>
      <c r="L1" s="353"/>
      <c r="M1" s="353"/>
      <c r="N1" s="354"/>
      <c r="O1" s="355" t="s">
        <v>296</v>
      </c>
      <c r="P1" s="355"/>
      <c r="Q1" s="355"/>
      <c r="R1" s="355"/>
      <c r="S1" s="355"/>
      <c r="T1" s="355"/>
      <c r="U1" s="355"/>
      <c r="V1" s="355"/>
      <c r="W1" s="355"/>
    </row>
    <row r="2" spans="1:23" ht="30" customHeight="1" x14ac:dyDescent="0.15">
      <c r="A2" s="351"/>
      <c r="B2" s="351"/>
      <c r="C2" s="351"/>
      <c r="D2" s="351"/>
      <c r="E2" s="351"/>
      <c r="F2" s="351"/>
      <c r="G2" s="353"/>
      <c r="H2" s="353"/>
      <c r="I2" s="353"/>
      <c r="J2" s="353"/>
      <c r="K2" s="353"/>
      <c r="L2" s="353"/>
      <c r="M2" s="353"/>
      <c r="N2" s="354"/>
      <c r="O2" s="356" t="s">
        <v>173</v>
      </c>
      <c r="P2" s="356"/>
      <c r="Q2" s="357">
        <f>Admin!B4</f>
        <v>45388</v>
      </c>
      <c r="R2" s="358"/>
      <c r="S2" s="358"/>
      <c r="T2" s="358"/>
      <c r="U2" s="222" t="s">
        <v>174</v>
      </c>
      <c r="V2" s="357">
        <f>Admin!B17</f>
        <v>45752</v>
      </c>
      <c r="W2" s="357"/>
    </row>
    <row r="3" spans="1:23" ht="8.25" customHeight="1" x14ac:dyDescent="0.15">
      <c r="A3" s="340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</row>
    <row r="4" spans="1:23" ht="10" customHeight="1" x14ac:dyDescent="0.15">
      <c r="A4" s="342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3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136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137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4" t="str">
        <f>IF('Business Details'!C5&gt;0,'Business Details'!C5:J5," ")</f>
        <v xml:space="preserve"> </v>
      </c>
      <c r="D8" s="345"/>
      <c r="E8" s="345"/>
      <c r="F8" s="345"/>
      <c r="G8" s="345"/>
      <c r="H8" s="345"/>
      <c r="I8" s="345"/>
      <c r="J8" s="346"/>
      <c r="K8" s="220"/>
      <c r="L8" s="220"/>
      <c r="M8" s="220"/>
      <c r="N8" s="220"/>
      <c r="O8" s="309" t="str">
        <f>IF('Business Details'!O5&gt;0,'Business Details'!O5," ")</f>
        <v xml:space="preserve"> </v>
      </c>
      <c r="P8" s="311"/>
      <c r="Q8" s="181"/>
      <c r="R8" s="309" t="str">
        <f>IF('Business Details'!R5&gt;0,'Business Details'!R5," ")</f>
        <v xml:space="preserve"> </v>
      </c>
      <c r="S8" s="310"/>
      <c r="T8" s="310"/>
      <c r="U8" s="311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47" t="s">
        <v>18</v>
      </c>
      <c r="B10" s="347"/>
      <c r="C10" s="347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142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297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4" t="str">
        <f>IF('Business Details'!C17&gt;0,'Business Details'!C17," ")</f>
        <v xml:space="preserve"> </v>
      </c>
      <c r="D13" s="345"/>
      <c r="E13" s="345"/>
      <c r="F13" s="345"/>
      <c r="G13" s="345"/>
      <c r="H13" s="345"/>
      <c r="I13" s="345"/>
      <c r="J13" s="346"/>
      <c r="K13" s="220"/>
      <c r="L13" s="220"/>
      <c r="M13" s="220"/>
      <c r="N13" s="241" t="s">
        <v>298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4" t="str">
        <f>IF('Business Details'!C19&gt;0,'Business Details'!C19," ")</f>
        <v xml:space="preserve"> </v>
      </c>
      <c r="D15" s="345"/>
      <c r="E15" s="345"/>
      <c r="F15" s="345"/>
      <c r="G15" s="345"/>
      <c r="H15" s="345"/>
      <c r="I15" s="345"/>
      <c r="J15" s="346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4" t="str">
        <f>IF('Business Details'!C21&gt;0,'Business Details'!C21," ")</f>
        <v xml:space="preserve"> </v>
      </c>
      <c r="D17" s="345"/>
      <c r="E17" s="345"/>
      <c r="F17" s="345"/>
      <c r="G17" s="345"/>
      <c r="H17" s="345"/>
      <c r="I17" s="345"/>
      <c r="J17" s="346"/>
      <c r="K17" s="220"/>
      <c r="L17" s="236">
        <v>5</v>
      </c>
      <c r="M17" s="220"/>
      <c r="N17" s="227" t="s">
        <v>340</v>
      </c>
      <c r="O17" s="227"/>
      <c r="P17" s="227"/>
      <c r="Q17" s="227"/>
      <c r="R17" s="237"/>
      <c r="S17" s="333">
        <f>Q2</f>
        <v>45388</v>
      </c>
      <c r="T17" s="348"/>
      <c r="U17" s="348"/>
      <c r="V17" s="348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49" t="s">
        <v>299</v>
      </c>
      <c r="O18" s="349"/>
      <c r="P18" s="349"/>
      <c r="Q18" s="349"/>
      <c r="R18" s="349"/>
      <c r="S18" s="349"/>
      <c r="T18" s="349"/>
      <c r="U18" s="349"/>
      <c r="V18" s="349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151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35" t="str">
        <f>IF('Business Details'!N19&gt;0,'Business Details'!N19," ")</f>
        <v xml:space="preserve"> </v>
      </c>
      <c r="O20" s="336"/>
      <c r="P20" s="336"/>
      <c r="Q20" s="339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31" t="str">
        <f>IF('Business Details'!C30&gt;0,'Business Details'!C30," ")</f>
        <v xml:space="preserve"> </v>
      </c>
      <c r="D22" s="332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300</v>
      </c>
      <c r="O23" s="246"/>
      <c r="P23" s="227"/>
      <c r="Q23" s="227"/>
      <c r="R23" s="227"/>
      <c r="S23" s="333">
        <f>V2</f>
        <v>45752</v>
      </c>
      <c r="T23" s="325"/>
      <c r="U23" s="334"/>
      <c r="V23" s="334"/>
      <c r="W23" s="239"/>
    </row>
    <row r="24" spans="1:23" x14ac:dyDescent="0.15">
      <c r="A24" s="236">
        <v>3</v>
      </c>
      <c r="B24" s="220"/>
      <c r="C24" s="227" t="s">
        <v>301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146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302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303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35" t="str">
        <f>IF('Business Details'!N24&gt;0,'Business Details'!N24," ")</f>
        <v xml:space="preserve"> </v>
      </c>
      <c r="O26" s="336"/>
      <c r="P26" s="336"/>
      <c r="Q26" s="337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304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305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306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35">
        <f>Admin!B17</f>
        <v>45752</v>
      </c>
      <c r="O31" s="336"/>
      <c r="P31" s="336"/>
      <c r="Q31" s="337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38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8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176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307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178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179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20">
        <f>'Profit &amp; Loss Account'!B14</f>
        <v>0</v>
      </c>
      <c r="E38" s="321"/>
      <c r="F38" s="322"/>
      <c r="G38" s="218" t="s">
        <v>167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20">
        <f>'Profit &amp; Loss Account'!B48</f>
        <v>0</v>
      </c>
      <c r="P38" s="321"/>
      <c r="Q38" s="322"/>
      <c r="R38" s="218" t="s">
        <v>167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29" t="s">
        <v>308</v>
      </c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</row>
    <row r="41" spans="1:23" s="254" customFormat="1" ht="14" customHeight="1" x14ac:dyDescent="0.15">
      <c r="A41" s="323" t="s">
        <v>309</v>
      </c>
      <c r="B41" s="323"/>
      <c r="C41" s="323"/>
      <c r="D41" s="323"/>
      <c r="E41" s="323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</row>
    <row r="42" spans="1:23" s="254" customFormat="1" ht="14" customHeight="1" x14ac:dyDescent="0.15">
      <c r="A42" s="323" t="s">
        <v>310</v>
      </c>
      <c r="B42" s="323"/>
      <c r="C42" s="323"/>
      <c r="D42" s="323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186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197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20" t="str">
        <f>IF('Profit &amp; Loss Account'!B14&gt;30000,'Profit &amp; Loss Account'!B22," ")</f>
        <v xml:space="preserve"> </v>
      </c>
      <c r="E46" s="321"/>
      <c r="F46" s="322"/>
      <c r="G46" s="218" t="s">
        <v>167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20" t="str">
        <f>IF('Profit &amp; Loss Account'!B14&gt;30000,'Profit &amp; Loss Account'!B33," ")</f>
        <v xml:space="preserve"> </v>
      </c>
      <c r="P46" s="321"/>
      <c r="Q46" s="322"/>
      <c r="R46" s="218" t="s">
        <v>167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311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312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313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20" t="str">
        <f>IF('Profit &amp; Loss Account'!B14&gt;30000,'Profit &amp; Loss Account'!B30+'Profit &amp; Loss Account'!B31," ")</f>
        <v xml:space="preserve"> </v>
      </c>
      <c r="E51" s="321"/>
      <c r="F51" s="322"/>
      <c r="G51" s="218" t="s">
        <v>167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20" t="str">
        <f>IF('Profit &amp; Loss Account'!B14&gt;30000,'Profit &amp; Loss Account'!B35+'Profit &amp; Loss Account'!B36," ")</f>
        <v xml:space="preserve"> </v>
      </c>
      <c r="P51" s="321"/>
      <c r="Q51" s="322"/>
      <c r="R51" s="218" t="s">
        <v>167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188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192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20" t="str">
        <f>IF('Profit &amp; Loss Account'!B14&gt;30000,'Profit &amp; Loss Account'!B26," ")</f>
        <v xml:space="preserve"> </v>
      </c>
      <c r="E55" s="321"/>
      <c r="F55" s="322"/>
      <c r="G55" s="218" t="s">
        <v>167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20" t="str">
        <f>IF('Profit &amp; Loss Account'!B14&gt;30000,'Profit &amp; Loss Account'!B29," ")</f>
        <v xml:space="preserve"> </v>
      </c>
      <c r="P55" s="321"/>
      <c r="Q55" s="322"/>
      <c r="R55" s="218" t="s">
        <v>167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190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314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315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20" t="str">
        <f>IF('Profit &amp; Loss Account'!B14&gt;30000,'Profit &amp; Loss Account'!B27," ")</f>
        <v xml:space="preserve"> </v>
      </c>
      <c r="E60" s="321"/>
      <c r="F60" s="322"/>
      <c r="G60" s="218" t="s">
        <v>167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20" t="str">
        <f>IF('Profit &amp; Loss Account'!B14&gt;30000,'Profit &amp; Loss Account'!B32+'Profit &amp; Loss Account'!B34+'Profit &amp; Loss Account'!B42+SUM('Profit &amp; Loss Account'!B37:B41)+'Profit &amp; Loss Account'!B43," ")</f>
        <v xml:space="preserve"> </v>
      </c>
      <c r="P60" s="321"/>
      <c r="Q60" s="322"/>
      <c r="R60" s="218" t="s">
        <v>167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316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317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20" t="str">
        <f>IF('Profit &amp; Loss Account'!B14&gt;30000,'Profit &amp; Loss Account'!B28," ")</f>
        <v xml:space="preserve"> </v>
      </c>
      <c r="E64" s="321"/>
      <c r="F64" s="322"/>
      <c r="G64" s="218" t="s">
        <v>167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20">
        <f>'Profit &amp; Loss Account'!B22+'Profit &amp; Loss Account'!B45-'Profit &amp; Loss Account'!B44</f>
        <v>0</v>
      </c>
      <c r="P64" s="321"/>
      <c r="Q64" s="322"/>
      <c r="R64" s="218" t="s">
        <v>167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30" t="s">
        <v>202</v>
      </c>
      <c r="B66" s="330"/>
      <c r="C66" s="330"/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203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204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318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319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20">
        <f>IF((D38+O38-O64)&gt;=0,D38+O38-O64,0)</f>
        <v>0</v>
      </c>
      <c r="E71" s="321"/>
      <c r="F71" s="322"/>
      <c r="G71" s="218" t="s">
        <v>167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20">
        <f>IF((D38+O38-O64)&lt;0,O64-D38-O38,0)</f>
        <v>0</v>
      </c>
      <c r="P71" s="321"/>
      <c r="Q71" s="322"/>
      <c r="R71" s="218" t="s">
        <v>167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29" t="s">
        <v>207</v>
      </c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Y73" s="257"/>
      <c r="Z73" s="257"/>
    </row>
    <row r="74" spans="1:26" ht="14" customHeight="1" x14ac:dyDescent="0.15">
      <c r="A74" s="323" t="s">
        <v>320</v>
      </c>
      <c r="B74" s="323"/>
      <c r="C74" s="323"/>
      <c r="D74" s="323"/>
      <c r="E74" s="323"/>
      <c r="F74" s="323"/>
      <c r="G74" s="323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</row>
    <row r="75" spans="1:26" ht="14" customHeight="1" x14ac:dyDescent="0.15">
      <c r="A75" s="323" t="s">
        <v>321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Y75" s="257"/>
      <c r="Z75" s="257"/>
    </row>
    <row r="76" spans="1:26" ht="13.5" customHeight="1" x14ac:dyDescent="0.15">
      <c r="A76" s="323" t="s">
        <v>322</v>
      </c>
      <c r="B76" s="323"/>
      <c r="C76" s="323"/>
      <c r="D76" s="323"/>
      <c r="E76" s="323"/>
      <c r="F76" s="323"/>
      <c r="G76" s="323"/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339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375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20">
        <f>IF(([1]Schedule!$Q$1)&gt;0,[1]Schedule!$Q$1,0)</f>
        <v>0</v>
      </c>
      <c r="E80" s="321"/>
      <c r="F80" s="322"/>
      <c r="G80" s="218" t="s">
        <v>167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20">
        <f>IF(([1]Schedule!$R$1+[1]Schedule!$Y$1)&gt;0,[1]Schedule!$R$1+[1]Schedule!$Y$1,0)</f>
        <v>0</v>
      </c>
      <c r="P80" s="321"/>
      <c r="Q80" s="322"/>
      <c r="R80" s="218" t="s">
        <v>167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376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323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377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378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20">
        <f>IF(([1]Schedule!$R$1+[1]Schedule!$S$1)&lt;1000,[1]Schedule!$S$1,0)</f>
        <v>0</v>
      </c>
      <c r="E85" s="321"/>
      <c r="F85" s="322"/>
      <c r="G85" s="218" t="s">
        <v>167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20">
        <f>IF([1]Schedule!$Z$1&gt;0,[1]Schedule!$Z$1,0)</f>
        <v>0</v>
      </c>
      <c r="P85" s="321"/>
      <c r="Q85" s="322"/>
      <c r="R85" s="218" t="s">
        <v>167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28" t="s">
        <v>324</v>
      </c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</row>
    <row r="88" spans="1:23" ht="16" customHeight="1" x14ac:dyDescent="0.15">
      <c r="A88" s="323" t="s">
        <v>325</v>
      </c>
      <c r="B88" s="323"/>
      <c r="C88" s="323"/>
      <c r="D88" s="323"/>
      <c r="E88" s="323"/>
      <c r="F88" s="323"/>
      <c r="G88" s="323"/>
      <c r="H88" s="323"/>
      <c r="I88" s="323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</row>
    <row r="89" spans="1:23" ht="15.75" customHeight="1" x14ac:dyDescent="0.15">
      <c r="A89" s="323" t="s">
        <v>326</v>
      </c>
      <c r="B89" s="323"/>
      <c r="C89" s="323"/>
      <c r="D89" s="323"/>
      <c r="E89" s="323"/>
      <c r="F89" s="323"/>
      <c r="G89" s="323"/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327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246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379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380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20">
        <f>'Business Details'!O50</f>
        <v>0</v>
      </c>
      <c r="E94" s="321"/>
      <c r="F94" s="322"/>
      <c r="G94" s="218" t="s">
        <v>167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20">
        <f>IF(O106&gt;0,0,IF('Business Details'!D50=0,0,IF(D99&gt;'Business Details'!D50,'Business Details'!D50,D99)))</f>
        <v>0</v>
      </c>
      <c r="P94" s="321"/>
      <c r="Q94" s="322"/>
      <c r="R94" s="218" t="s">
        <v>167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381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328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382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329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20">
        <f>IF((D71+O85+D94-O71-D80-D85-O80)&gt;0,D71+O85+D94-O71-D80-D85-O80,0)</f>
        <v>0</v>
      </c>
      <c r="E99" s="321"/>
      <c r="F99" s="322"/>
      <c r="G99" s="218" t="s">
        <v>167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20">
        <f>'Profit &amp; Loss Account'!B16</f>
        <v>0</v>
      </c>
      <c r="P99" s="321"/>
      <c r="Q99" s="322"/>
      <c r="R99" s="218" t="s">
        <v>167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29" t="s">
        <v>330</v>
      </c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383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384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385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386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20">
        <f>IF((D99+O99-O94)&gt;0,D99+O99-O94,0)</f>
        <v>0</v>
      </c>
      <c r="E106" s="321"/>
      <c r="F106" s="322"/>
      <c r="G106" s="218" t="s">
        <v>167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20">
        <f>IF((O71+D80+D85+O80-D71-O85-D94)&gt;=0,O71+D80+D85+O80-D71-O85-D94,0)</f>
        <v>0</v>
      </c>
      <c r="P106" s="321"/>
      <c r="Q106" s="322"/>
      <c r="R106" s="218" t="s">
        <v>167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28" t="s">
        <v>331</v>
      </c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</row>
    <row r="109" spans="1:26" ht="16" customHeight="1" x14ac:dyDescent="0.15">
      <c r="A109" s="323" t="s">
        <v>332</v>
      </c>
      <c r="B109" s="323"/>
      <c r="C109" s="323"/>
      <c r="D109" s="323"/>
      <c r="E109" s="323"/>
      <c r="F109" s="323"/>
      <c r="G109" s="323"/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333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334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257</v>
      </c>
      <c r="D112" s="324" t="str">
        <f>Admin!G2</f>
        <v>2024-25</v>
      </c>
      <c r="E112" s="325"/>
      <c r="F112" s="325"/>
      <c r="G112" s="227"/>
      <c r="H112" s="227"/>
      <c r="I112" s="227"/>
      <c r="J112" s="227"/>
      <c r="K112" s="227"/>
      <c r="L112" s="227"/>
      <c r="M112" s="220"/>
      <c r="N112" s="227" t="s">
        <v>387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20"/>
      <c r="E114" s="321"/>
      <c r="F114" s="322"/>
      <c r="G114" s="218" t="s">
        <v>167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335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290</v>
      </c>
      <c r="O116" s="220"/>
      <c r="P116" s="220"/>
      <c r="Q116" s="220"/>
      <c r="R116" s="326" t="str">
        <f>Admin!G2</f>
        <v>2024-25</v>
      </c>
      <c r="S116" s="327"/>
      <c r="T116" s="327"/>
      <c r="U116" s="227" t="s">
        <v>336</v>
      </c>
      <c r="V116" s="220"/>
      <c r="W116" s="243"/>
    </row>
    <row r="117" spans="1:23" ht="12" customHeight="1" x14ac:dyDescent="0.15">
      <c r="A117" s="255"/>
      <c r="B117" s="220"/>
      <c r="C117" s="227" t="s">
        <v>254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388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225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20"/>
      <c r="E119" s="321"/>
      <c r="F119" s="322"/>
      <c r="G119" s="218" t="s">
        <v>167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256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260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258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337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20">
        <f>'Business Details'!O55</f>
        <v>0</v>
      </c>
      <c r="E124" s="321"/>
      <c r="F124" s="322"/>
      <c r="G124" s="218" t="s">
        <v>167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20">
        <f>[2]Mar!$AC$1</f>
        <v>0</v>
      </c>
      <c r="P124" s="321"/>
      <c r="Q124" s="322"/>
      <c r="R124" s="218" t="s">
        <v>167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A1:F2"/>
    <mergeCell ref="G1:N2"/>
    <mergeCell ref="O1:W1"/>
    <mergeCell ref="O2:P2"/>
    <mergeCell ref="Q2:T2"/>
    <mergeCell ref="V2:W2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106:F106"/>
    <mergeCell ref="O106:Q106"/>
    <mergeCell ref="A108:W108"/>
    <mergeCell ref="D99:F99"/>
    <mergeCell ref="O99:Q99"/>
    <mergeCell ref="A101:W101"/>
    <mergeCell ref="A87:W87"/>
    <mergeCell ref="A88:W88"/>
    <mergeCell ref="A89:W89"/>
    <mergeCell ref="D94:F94"/>
    <mergeCell ref="O94:Q94"/>
    <mergeCell ref="D119:F119"/>
    <mergeCell ref="D124:F124"/>
    <mergeCell ref="O124:Q124"/>
    <mergeCell ref="A109:W109"/>
    <mergeCell ref="D112:F112"/>
    <mergeCell ref="D114:F114"/>
    <mergeCell ref="R116:T116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3.8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50" t="s">
        <v>171</v>
      </c>
      <c r="B1" s="351"/>
      <c r="C1" s="351"/>
      <c r="D1" s="351"/>
      <c r="E1" s="351"/>
      <c r="F1" s="351"/>
      <c r="G1" s="352" t="s">
        <v>396</v>
      </c>
      <c r="H1" s="353"/>
      <c r="I1" s="353"/>
      <c r="J1" s="353"/>
      <c r="K1" s="353"/>
      <c r="L1" s="353"/>
      <c r="M1" s="353"/>
      <c r="N1" s="385" t="s">
        <v>172</v>
      </c>
      <c r="O1" s="385"/>
      <c r="P1" s="385"/>
      <c r="Q1" s="385"/>
      <c r="R1" s="385"/>
      <c r="S1" s="385"/>
      <c r="T1" s="385"/>
      <c r="U1" s="385"/>
      <c r="V1" s="385"/>
      <c r="W1" s="385"/>
    </row>
    <row r="2" spans="1:23" ht="30" customHeight="1" x14ac:dyDescent="0.15">
      <c r="A2" s="351"/>
      <c r="B2" s="351"/>
      <c r="C2" s="351"/>
      <c r="D2" s="351"/>
      <c r="E2" s="351"/>
      <c r="F2" s="351"/>
      <c r="G2" s="353"/>
      <c r="H2" s="353"/>
      <c r="I2" s="353"/>
      <c r="J2" s="353"/>
      <c r="K2" s="353"/>
      <c r="L2" s="353"/>
      <c r="M2" s="353"/>
      <c r="N2" s="356" t="s">
        <v>173</v>
      </c>
      <c r="O2" s="356"/>
      <c r="P2" s="356"/>
      <c r="Q2" s="357">
        <f>Admin!B4</f>
        <v>45388</v>
      </c>
      <c r="R2" s="358"/>
      <c r="S2" s="358"/>
      <c r="T2" s="358"/>
      <c r="U2" s="222" t="s">
        <v>174</v>
      </c>
      <c r="V2" s="357">
        <f>Admin!B17</f>
        <v>45752</v>
      </c>
      <c r="W2" s="357"/>
    </row>
    <row r="3" spans="1:23" ht="8.25" customHeight="1" x14ac:dyDescent="0.15">
      <c r="A3" s="340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</row>
    <row r="4" spans="1:23" ht="10" customHeight="1" x14ac:dyDescent="0.15">
      <c r="A4" s="342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3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136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137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83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84"/>
      <c r="K8" s="220"/>
      <c r="L8" s="220"/>
      <c r="M8" s="220"/>
      <c r="N8" s="220"/>
      <c r="O8" s="383" t="str">
        <f>IF('Business Details'!O5&gt;0,'Business Details'!O5," ")</f>
        <v xml:space="preserve"> </v>
      </c>
      <c r="P8" s="384"/>
      <c r="Q8" s="220"/>
      <c r="R8" s="383" t="str">
        <f>IF('Business Details'!R5&gt;0,'Business Details'!R5," ")</f>
        <v xml:space="preserve"> </v>
      </c>
      <c r="S8" s="375"/>
      <c r="T8" s="375"/>
      <c r="U8" s="384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83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84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86" t="s">
        <v>18</v>
      </c>
      <c r="B12" s="386"/>
      <c r="C12" s="386"/>
      <c r="D12" s="386"/>
      <c r="E12" s="386"/>
      <c r="F12" s="386"/>
      <c r="G12" s="386"/>
      <c r="H12" s="386"/>
      <c r="I12" s="386"/>
      <c r="J12" s="386"/>
      <c r="K12" s="386"/>
      <c r="L12" s="386"/>
      <c r="M12" s="386"/>
      <c r="N12" s="386"/>
      <c r="O12" s="386"/>
      <c r="P12" s="386"/>
      <c r="Q12" s="386"/>
      <c r="R12" s="386"/>
      <c r="S12" s="386"/>
      <c r="T12" s="386"/>
      <c r="U12" s="386"/>
      <c r="V12" s="386"/>
      <c r="W12" s="347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138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139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83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84"/>
      <c r="K15" s="220"/>
      <c r="L15" s="220"/>
      <c r="M15" s="220"/>
      <c r="N15" s="241" t="s">
        <v>140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141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83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84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142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143</v>
      </c>
      <c r="O19" s="227"/>
      <c r="P19" s="227"/>
      <c r="Q19" s="227"/>
      <c r="R19" s="220"/>
      <c r="S19" s="333">
        <f>Admin!B4</f>
        <v>45388</v>
      </c>
      <c r="T19" s="334"/>
      <c r="U19" s="334"/>
      <c r="V19" s="334"/>
      <c r="W19" s="239"/>
    </row>
    <row r="20" spans="1:23" ht="15" customHeight="1" x14ac:dyDescent="0.15">
      <c r="A20" s="240"/>
      <c r="B20" s="220"/>
      <c r="C20" s="383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84"/>
      <c r="K20" s="220"/>
      <c r="L20" s="220"/>
      <c r="M20" s="220"/>
      <c r="N20" s="227" t="s">
        <v>144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83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84"/>
      <c r="K22" s="220"/>
      <c r="L22" s="220"/>
      <c r="M22" s="220"/>
      <c r="N22" s="335" t="str">
        <f>IF('Business Details'!N10&gt;0,'Business Details'!N19," ")</f>
        <v xml:space="preserve"> </v>
      </c>
      <c r="O22" s="336"/>
      <c r="P22" s="336"/>
      <c r="Q22" s="339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83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84"/>
      <c r="K24" s="220"/>
      <c r="L24" s="236">
        <v>7</v>
      </c>
      <c r="M24" s="220"/>
      <c r="N24" s="227" t="s">
        <v>145</v>
      </c>
      <c r="O24" s="227"/>
      <c r="P24" s="227"/>
      <c r="Q24" s="227"/>
      <c r="R24" s="220"/>
      <c r="S24" s="333">
        <f>Admin!B17</f>
        <v>45752</v>
      </c>
      <c r="T24" s="334"/>
      <c r="U24" s="334"/>
      <c r="V24" s="334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49" t="s">
        <v>146</v>
      </c>
      <c r="O25" s="349"/>
      <c r="P25" s="349"/>
      <c r="Q25" s="349"/>
      <c r="R25" s="349"/>
      <c r="S25" s="349"/>
      <c r="T25" s="349"/>
      <c r="U25" s="349"/>
      <c r="V25" s="349"/>
      <c r="W25" s="245"/>
    </row>
    <row r="26" spans="1:23" x14ac:dyDescent="0.15">
      <c r="A26" s="236">
        <v>3</v>
      </c>
      <c r="B26" s="220"/>
      <c r="C26" s="227" t="s">
        <v>147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49"/>
      <c r="O26" s="349"/>
      <c r="P26" s="349"/>
      <c r="Q26" s="349"/>
      <c r="R26" s="349"/>
      <c r="S26" s="349"/>
      <c r="T26" s="349"/>
      <c r="U26" s="349"/>
      <c r="V26" s="349"/>
      <c r="W26" s="245"/>
    </row>
    <row r="27" spans="1:23" ht="15" customHeight="1" x14ac:dyDescent="0.15">
      <c r="A27" s="240"/>
      <c r="B27" s="220"/>
      <c r="C27" s="248" t="s">
        <v>148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35" t="str">
        <f>IF('Business Details'!N24&gt;0,'Business Details'!N24," ")</f>
        <v xml:space="preserve"> </v>
      </c>
      <c r="O27" s="336"/>
      <c r="P27" s="336"/>
      <c r="Q27" s="339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83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84"/>
      <c r="K28" s="220"/>
      <c r="L28" s="236">
        <v>8</v>
      </c>
      <c r="M28" s="220"/>
      <c r="N28" s="227" t="s">
        <v>149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150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83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84"/>
      <c r="K30" s="220"/>
      <c r="L30" s="220"/>
      <c r="M30" s="220"/>
      <c r="N30" s="335" t="str">
        <f>IF('Business Details'!N27&gt;0,'Business Details'!N27," ")</f>
        <v xml:space="preserve"> </v>
      </c>
      <c r="O30" s="336"/>
      <c r="P30" s="336"/>
      <c r="Q30" s="339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151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152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81" t="str">
        <f>IF('Business Details'!C30&gt;0,'Business Details'!C30," ")</f>
        <v xml:space="preserve"> </v>
      </c>
      <c r="D33" s="382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153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154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35">
        <f>Admin!B17</f>
        <v>45752</v>
      </c>
      <c r="O35" s="336"/>
      <c r="P35" s="336"/>
      <c r="Q35" s="339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28" t="s">
        <v>155</v>
      </c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156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157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158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159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160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161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162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163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159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29" t="s">
        <v>175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176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177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178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179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20">
        <f>'Profit &amp; Loss Account'!B14</f>
        <v>0</v>
      </c>
      <c r="E55" s="321"/>
      <c r="F55" s="322"/>
      <c r="G55" s="218" t="s">
        <v>167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20">
        <f>'Profit &amp; Loss Account'!B48</f>
        <v>0</v>
      </c>
      <c r="P55" s="321"/>
      <c r="Q55" s="322"/>
      <c r="R55" s="218" t="s">
        <v>167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29" t="s">
        <v>180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</row>
    <row r="58" spans="1:23" s="254" customFormat="1" ht="16" customHeight="1" x14ac:dyDescent="0.15">
      <c r="A58" s="323" t="s">
        <v>181</v>
      </c>
      <c r="B58" s="323"/>
      <c r="C58" s="323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182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183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184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185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186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20">
        <f>'Profit &amp; Loss Account'!B19+'Profit &amp; Loss Account'!B21</f>
        <v>0</v>
      </c>
      <c r="E66" s="321"/>
      <c r="F66" s="322"/>
      <c r="G66" s="218" t="s">
        <v>167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20"/>
      <c r="P66" s="321"/>
      <c r="Q66" s="322"/>
      <c r="R66" s="218" t="s">
        <v>167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187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20">
        <f>'Profit &amp; Loss Account'!B20</f>
        <v>0</v>
      </c>
      <c r="E70" s="321"/>
      <c r="F70" s="322"/>
      <c r="G70" s="218" t="s">
        <v>167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20"/>
      <c r="P70" s="321"/>
      <c r="Q70" s="322"/>
      <c r="R70" s="218" t="s">
        <v>167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188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20">
        <f>'Profit &amp; Loss Account'!B26</f>
        <v>0</v>
      </c>
      <c r="E74" s="321"/>
      <c r="F74" s="322"/>
      <c r="G74" s="218" t="s">
        <v>167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20"/>
      <c r="P74" s="321"/>
      <c r="Q74" s="322"/>
      <c r="R74" s="218" t="s">
        <v>167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189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20">
        <f>'Profit &amp; Loss Account'!B30+'Profit &amp; Loss Account'!B31</f>
        <v>0</v>
      </c>
      <c r="E78" s="321"/>
      <c r="F78" s="322"/>
      <c r="G78" s="218" t="s">
        <v>167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20"/>
      <c r="P78" s="321"/>
      <c r="Q78" s="322"/>
      <c r="R78" s="218" t="s">
        <v>167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190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20">
        <f>'Profit &amp; Loss Account'!B27</f>
        <v>0</v>
      </c>
      <c r="E82" s="321"/>
      <c r="F82" s="322"/>
      <c r="G82" s="218" t="s">
        <v>167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20"/>
      <c r="P82" s="321"/>
      <c r="Q82" s="322"/>
      <c r="R82" s="218" t="s">
        <v>167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191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20">
        <f>'Profit &amp; Loss Account'!B28</f>
        <v>0</v>
      </c>
      <c r="E86" s="321"/>
      <c r="F86" s="322"/>
      <c r="G86" s="218" t="s">
        <v>167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20"/>
      <c r="P86" s="321"/>
      <c r="Q86" s="322"/>
      <c r="R86" s="218" t="s">
        <v>167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192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20">
        <f>'Profit &amp; Loss Account'!B29</f>
        <v>0</v>
      </c>
      <c r="E90" s="321"/>
      <c r="F90" s="322"/>
      <c r="G90" s="218" t="s">
        <v>167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20"/>
      <c r="P90" s="321"/>
      <c r="Q90" s="322"/>
      <c r="R90" s="218" t="s">
        <v>167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193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20">
        <f>'Profit &amp; Loss Account'!B32</f>
        <v>0</v>
      </c>
      <c r="E94" s="321"/>
      <c r="F94" s="322"/>
      <c r="G94" s="218" t="s">
        <v>167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20"/>
      <c r="P94" s="321"/>
      <c r="Q94" s="322"/>
      <c r="R94" s="218" t="s">
        <v>167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194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20">
        <f>'Profit &amp; Loss Account'!B35</f>
        <v>0</v>
      </c>
      <c r="E98" s="321"/>
      <c r="F98" s="322"/>
      <c r="G98" s="218" t="s">
        <v>167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20"/>
      <c r="P98" s="321"/>
      <c r="Q98" s="322"/>
      <c r="R98" s="218" t="s">
        <v>167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195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20">
        <f>'Profit &amp; Loss Account'!B36</f>
        <v>0</v>
      </c>
      <c r="E102" s="321"/>
      <c r="F102" s="322"/>
      <c r="G102" s="218" t="s">
        <v>167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20"/>
      <c r="P102" s="321"/>
      <c r="Q102" s="322"/>
      <c r="R102" s="218" t="s">
        <v>167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196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20">
        <f>'Profit &amp; Loss Account'!B34</f>
        <v>0</v>
      </c>
      <c r="E106" s="321"/>
      <c r="F106" s="322"/>
      <c r="G106" s="218" t="s">
        <v>167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20"/>
      <c r="P106" s="321"/>
      <c r="Q106" s="322"/>
      <c r="R106" s="218" t="s">
        <v>167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197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20">
        <f>'Profit &amp; Loss Account'!B33</f>
        <v>0</v>
      </c>
      <c r="E110" s="321"/>
      <c r="F110" s="322"/>
      <c r="G110" s="218" t="s">
        <v>167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20"/>
      <c r="P110" s="321"/>
      <c r="Q110" s="322"/>
      <c r="R110" s="218" t="s">
        <v>167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198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20">
        <f>'Profit &amp; Loss Account'!B43+'Profit &amp; Loss Account'!B44</f>
        <v>0</v>
      </c>
      <c r="E114" s="321"/>
      <c r="F114" s="322"/>
      <c r="G114" s="218" t="s">
        <v>167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20">
        <f>'Profit &amp; Loss Account'!B44</f>
        <v>0</v>
      </c>
      <c r="P114" s="321"/>
      <c r="Q114" s="322"/>
      <c r="R114" s="218" t="s">
        <v>167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199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20">
        <f>SUM('Profit &amp; Loss Account'!B37:B42)</f>
        <v>0</v>
      </c>
      <c r="E118" s="321"/>
      <c r="F118" s="322"/>
      <c r="G118" s="218" t="s">
        <v>167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20"/>
      <c r="P118" s="321"/>
      <c r="Q118" s="322"/>
      <c r="R118" s="218" t="s">
        <v>167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200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201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20">
        <f>'Profit &amp; Loss Account'!B22+'Profit &amp; Loss Account'!B45</f>
        <v>0</v>
      </c>
      <c r="E122" s="321"/>
      <c r="F122" s="322"/>
      <c r="G122" s="218" t="s">
        <v>167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20">
        <f>'Profit &amp; Loss Account'!B44</f>
        <v>0</v>
      </c>
      <c r="P122" s="321"/>
      <c r="Q122" s="322"/>
      <c r="R122" s="218" t="s">
        <v>167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30" t="s">
        <v>202</v>
      </c>
      <c r="B124" s="330"/>
      <c r="C124" s="330"/>
      <c r="D124" s="330"/>
      <c r="E124" s="330"/>
      <c r="F124" s="330"/>
      <c r="G124" s="330"/>
      <c r="H124" s="330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0"/>
      <c r="V124" s="330"/>
      <c r="W124" s="330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203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204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205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206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20">
        <f>IF((D55+O55-D122)&gt;=0,D55+O55-D122,0)</f>
        <v>0</v>
      </c>
      <c r="E129" s="321"/>
      <c r="F129" s="322"/>
      <c r="G129" s="218" t="s">
        <v>167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20">
        <f>IF((D55+O55-D122)&lt;0,D122-D55-O55,0)</f>
        <v>0</v>
      </c>
      <c r="P129" s="321"/>
      <c r="Q129" s="322"/>
      <c r="R129" s="218" t="s">
        <v>167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29" t="s">
        <v>207</v>
      </c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</row>
    <row r="132" spans="1:23" ht="16" customHeight="1" x14ac:dyDescent="0.15">
      <c r="A132" s="323" t="s">
        <v>208</v>
      </c>
      <c r="B132" s="323"/>
      <c r="C132" s="323"/>
      <c r="D132" s="323"/>
      <c r="E132" s="323"/>
      <c r="F132" s="323"/>
      <c r="G132" s="323"/>
      <c r="H132" s="323"/>
      <c r="I132" s="323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</row>
    <row r="133" spans="1:23" ht="16" customHeight="1" x14ac:dyDescent="0.15">
      <c r="A133" s="323" t="s">
        <v>341</v>
      </c>
      <c r="B133" s="323"/>
      <c r="C133" s="323"/>
      <c r="D133" s="323"/>
      <c r="E133" s="323"/>
      <c r="F133" s="323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</row>
    <row r="134" spans="1:23" ht="16" customHeight="1" x14ac:dyDescent="0.15">
      <c r="A134" s="323" t="s">
        <v>209</v>
      </c>
      <c r="B134" s="323"/>
      <c r="C134" s="323"/>
      <c r="D134" s="323"/>
      <c r="E134" s="323"/>
      <c r="F134" s="323"/>
      <c r="G134" s="323"/>
      <c r="H134" s="323"/>
      <c r="I134" s="323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338</v>
      </c>
      <c r="D136" s="227"/>
      <c r="E136" s="227"/>
      <c r="F136" s="227"/>
      <c r="G136" s="227"/>
      <c r="H136" s="378">
        <f>Admin!G4</f>
        <v>1</v>
      </c>
      <c r="I136" s="380"/>
      <c r="J136" s="227"/>
      <c r="K136" s="227"/>
      <c r="L136" s="236">
        <v>54</v>
      </c>
      <c r="M136" s="220"/>
      <c r="N136" s="227" t="s">
        <v>212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342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20">
        <f>IF([1]Schedule!$Q$1&gt;0,[1]Schedule!$Q$1,0)</f>
        <v>0</v>
      </c>
      <c r="E139" s="321"/>
      <c r="F139" s="322"/>
      <c r="G139" s="218" t="s">
        <v>167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20">
        <f>IF(([1]Schedule!$R$1+[1]Schedule!$S$1)&lt;1000,[1]Schedule!$S$1,0)</f>
        <v>0</v>
      </c>
      <c r="P139" s="321"/>
      <c r="Q139" s="322"/>
      <c r="R139" s="218" t="s">
        <v>167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210</v>
      </c>
      <c r="D141" s="227"/>
      <c r="E141" s="227"/>
      <c r="F141" s="227"/>
      <c r="G141" s="378">
        <f>Admin!G5</f>
        <v>0.18</v>
      </c>
      <c r="H141" s="379"/>
      <c r="I141" s="227" t="s">
        <v>211</v>
      </c>
      <c r="J141" s="227"/>
      <c r="K141" s="227"/>
      <c r="L141" s="236">
        <v>55</v>
      </c>
      <c r="M141" s="220"/>
      <c r="N141" s="227" t="s">
        <v>214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213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215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20">
        <f>[1]Schedule!$R$1-D152</f>
        <v>0</v>
      </c>
      <c r="E144" s="321"/>
      <c r="F144" s="322"/>
      <c r="G144" s="218" t="s">
        <v>167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20">
        <f>[1]Schedule!$Y$1</f>
        <v>0</v>
      </c>
      <c r="P144" s="321"/>
      <c r="Q144" s="322"/>
      <c r="R144" s="218" t="s">
        <v>167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343</v>
      </c>
      <c r="D146" s="227"/>
      <c r="E146" s="227"/>
      <c r="F146" s="227"/>
      <c r="G146" s="227"/>
      <c r="H146" s="378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20"/>
      <c r="E147" s="321"/>
      <c r="F147" s="322"/>
      <c r="G147" s="218" t="s">
        <v>167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344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216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20">
        <f>D139+D144+D147+D152+D156+D160+O139+O144</f>
        <v>0</v>
      </c>
      <c r="P149" s="321"/>
      <c r="Q149" s="322"/>
      <c r="R149" s="218" t="s">
        <v>167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217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219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20">
        <f>SUM([1]Schedule!$R$38:$R$42)+SUM([1]Schedule!$R$91:$R$95)</f>
        <v>0</v>
      </c>
      <c r="E152" s="307"/>
      <c r="F152" s="308"/>
      <c r="G152" s="218" t="s">
        <v>167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220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218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20"/>
      <c r="P154" s="321"/>
      <c r="Q154" s="322"/>
      <c r="R154" s="218" t="s">
        <v>167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20"/>
      <c r="E156" s="307"/>
      <c r="F156" s="308"/>
      <c r="G156" s="218" t="s">
        <v>167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345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221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346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347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348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20"/>
      <c r="E160" s="321"/>
      <c r="F160" s="322"/>
      <c r="G160" s="218" t="s">
        <v>167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20">
        <f>[1]Schedule!$Z$1</f>
        <v>0</v>
      </c>
      <c r="P160" s="321"/>
      <c r="Q160" s="322"/>
      <c r="R160" s="218" t="s">
        <v>167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29" t="s">
        <v>222</v>
      </c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</row>
    <row r="163" spans="1:23" ht="16" customHeight="1" x14ac:dyDescent="0.15">
      <c r="A163" s="323" t="s">
        <v>223</v>
      </c>
      <c r="B163" s="323"/>
      <c r="C163" s="323"/>
      <c r="D163" s="323"/>
      <c r="E163" s="323"/>
      <c r="F163" s="323"/>
      <c r="G163" s="323"/>
      <c r="H163" s="323"/>
      <c r="I163" s="323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</row>
    <row r="164" spans="1:23" ht="16" customHeight="1" x14ac:dyDescent="0.15">
      <c r="A164" s="323" t="s">
        <v>349</v>
      </c>
      <c r="B164" s="323"/>
      <c r="C164" s="323"/>
      <c r="D164" s="323"/>
      <c r="E164" s="323"/>
      <c r="F164" s="323"/>
      <c r="G164" s="323"/>
      <c r="H164" s="323"/>
      <c r="I164" s="323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350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224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225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351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20">
        <f>'Business Details'!O50</f>
        <v>0</v>
      </c>
      <c r="E169" s="321"/>
      <c r="F169" s="322"/>
      <c r="G169" s="218" t="s">
        <v>167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20">
        <f>O149+D179</f>
        <v>0</v>
      </c>
      <c r="P169" s="321"/>
      <c r="Q169" s="322"/>
      <c r="R169" s="218" t="s">
        <v>167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226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352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353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354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20">
        <f>O122+O154+O160+D169</f>
        <v>0</v>
      </c>
      <c r="E174" s="321"/>
      <c r="F174" s="322"/>
      <c r="G174" s="218" t="s">
        <v>167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20">
        <f>IF((D129+D174-O169)&gt;0,(D129+D174-O169),IF((-O129+D174-O169)&gt;0,(-O129+D174-O169),0))</f>
        <v>0</v>
      </c>
      <c r="P174" s="321"/>
      <c r="Q174" s="322"/>
      <c r="R174" s="218" t="s">
        <v>167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227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355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228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356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20"/>
      <c r="E179" s="321"/>
      <c r="F179" s="322"/>
      <c r="G179" s="218" t="s">
        <v>167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20">
        <f>IF(O174&gt;0,0,IF((D129+D174-O169)&lt;0,-(D129+D174-O169),IF((-O129+D174-O169)&lt;0,-(-O129+D174-O169),0)))</f>
        <v>0</v>
      </c>
      <c r="P179" s="321"/>
      <c r="Q179" s="322"/>
      <c r="R179" s="218" t="s">
        <v>167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29" t="s">
        <v>229</v>
      </c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</row>
    <row r="182" spans="1:23" ht="16" customHeight="1" x14ac:dyDescent="0.15">
      <c r="A182" s="323" t="s">
        <v>230</v>
      </c>
      <c r="B182" s="323"/>
      <c r="C182" s="323"/>
      <c r="D182" s="323"/>
      <c r="E182" s="323"/>
      <c r="F182" s="323"/>
      <c r="G182" s="323"/>
      <c r="H182" s="323"/>
      <c r="I182" s="323"/>
      <c r="J182" s="323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</row>
    <row r="183" spans="1:23" ht="16" customHeight="1" x14ac:dyDescent="0.15">
      <c r="A183" s="323" t="s">
        <v>231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</row>
    <row r="184" spans="1:23" ht="15.75" customHeight="1" x14ac:dyDescent="0.15">
      <c r="A184" s="377" t="s">
        <v>232</v>
      </c>
      <c r="B184" s="377"/>
      <c r="C184" s="377"/>
      <c r="D184" s="377"/>
      <c r="E184" s="377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233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234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71"/>
      <c r="D187" s="372"/>
      <c r="E187" s="372"/>
      <c r="F187" s="373"/>
      <c r="G187" s="227"/>
      <c r="H187" s="227"/>
      <c r="I187" s="227"/>
      <c r="J187" s="227"/>
      <c r="K187" s="227"/>
      <c r="L187" s="227"/>
      <c r="M187" s="220"/>
      <c r="N187" s="241" t="s">
        <v>235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74"/>
      <c r="E188" s="374"/>
      <c r="F188" s="374"/>
      <c r="G188" s="218"/>
      <c r="H188" s="253"/>
      <c r="I188" s="253"/>
      <c r="J188" s="220"/>
      <c r="K188" s="220"/>
      <c r="L188" s="227"/>
      <c r="M188" s="220"/>
      <c r="N188" s="248" t="s">
        <v>236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237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238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71"/>
      <c r="D190" s="372"/>
      <c r="E190" s="372"/>
      <c r="F190" s="373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239</v>
      </c>
      <c r="P190" s="375"/>
      <c r="Q190" s="376"/>
      <c r="R190" s="218" t="s">
        <v>167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240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241</v>
      </c>
      <c r="O192" s="220"/>
      <c r="P192" s="220"/>
      <c r="Q192" s="290" t="str">
        <f>Admin!G2</f>
        <v>2024-25</v>
      </c>
      <c r="R192" s="227" t="s">
        <v>357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242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358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243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20">
        <f>O174</f>
        <v>0</v>
      </c>
      <c r="P194" s="321"/>
      <c r="Q194" s="322"/>
      <c r="R194" s="218" t="s">
        <v>167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244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245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246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239</v>
      </c>
      <c r="E197" s="375"/>
      <c r="F197" s="376"/>
      <c r="G197" s="218" t="s">
        <v>167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359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360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361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20">
        <f>IF(D179&gt;0,0,IF((O194+O204)&gt;'Business Details'!D50,'Business Details'!D50,(O194+O204)))</f>
        <v>0</v>
      </c>
      <c r="P199" s="321"/>
      <c r="Q199" s="322"/>
      <c r="R199" s="218" t="s">
        <v>167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20"/>
      <c r="E201" s="321"/>
      <c r="F201" s="322"/>
      <c r="G201" s="218" t="s">
        <v>167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247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362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363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20">
        <f>'Profit &amp; Loss Account'!B16</f>
        <v>0</v>
      </c>
      <c r="P204" s="321"/>
      <c r="Q204" s="322"/>
      <c r="R204" s="218" t="s">
        <v>167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20"/>
      <c r="E206" s="321"/>
      <c r="F206" s="322"/>
      <c r="G206" s="218" t="s">
        <v>167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364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365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248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366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367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20"/>
      <c r="E210" s="321"/>
      <c r="F210" s="322"/>
      <c r="G210" s="218" t="s">
        <v>167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20">
        <f>O194-O199+O204</f>
        <v>0</v>
      </c>
      <c r="P210" s="321"/>
      <c r="Q210" s="322"/>
      <c r="R210" s="218" t="s">
        <v>167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28" t="s">
        <v>249</v>
      </c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</row>
    <row r="213" spans="1:23" ht="16" customHeight="1" x14ac:dyDescent="0.15">
      <c r="A213" s="323" t="s">
        <v>250</v>
      </c>
      <c r="B213" s="323"/>
      <c r="C213" s="323"/>
      <c r="D213" s="323"/>
      <c r="E213" s="323"/>
      <c r="F213" s="323"/>
      <c r="G213" s="323"/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</row>
    <row r="214" spans="1:23" ht="16" customHeight="1" x14ac:dyDescent="0.15">
      <c r="A214" s="323" t="s">
        <v>251</v>
      </c>
      <c r="B214" s="323"/>
      <c r="C214" s="323"/>
      <c r="D214" s="323"/>
      <c r="E214" s="323"/>
      <c r="F214" s="323"/>
      <c r="G214" s="323"/>
      <c r="H214" s="323"/>
      <c r="I214" s="323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252</v>
      </c>
      <c r="D216" s="227"/>
      <c r="E216" s="227"/>
      <c r="F216" s="289" t="str">
        <f>Admin!G2</f>
        <v>2024-25</v>
      </c>
      <c r="G216" s="227" t="s">
        <v>368</v>
      </c>
      <c r="H216" s="227"/>
      <c r="I216" s="227"/>
      <c r="J216" s="220"/>
      <c r="K216" s="227"/>
      <c r="L216" s="236">
        <v>78</v>
      </c>
      <c r="M216" s="220"/>
      <c r="N216" s="227" t="s">
        <v>253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369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254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20">
        <f>O179+E197-D201+D210+P190</f>
        <v>0</v>
      </c>
      <c r="E219" s="321"/>
      <c r="F219" s="322"/>
      <c r="G219" s="218" t="s">
        <v>167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20"/>
      <c r="P219" s="321"/>
      <c r="Q219" s="322"/>
      <c r="R219" s="218" t="s">
        <v>167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255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256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257</v>
      </c>
      <c r="D222" s="324" t="str">
        <f>Admin!G2</f>
        <v>2024-25</v>
      </c>
      <c r="E222" s="325"/>
      <c r="F222" s="334"/>
      <c r="G222" s="220"/>
      <c r="H222" s="220"/>
      <c r="I222" s="220"/>
      <c r="J222" s="220"/>
      <c r="K222" s="220"/>
      <c r="L222" s="220"/>
      <c r="M222" s="220"/>
      <c r="N222" s="246" t="s">
        <v>258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20"/>
      <c r="E224" s="321"/>
      <c r="F224" s="322"/>
      <c r="G224" s="218" t="s">
        <v>167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20">
        <f>D219</f>
        <v>0</v>
      </c>
      <c r="P224" s="321"/>
      <c r="Q224" s="322"/>
      <c r="R224" s="218" t="s">
        <v>167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70" t="s">
        <v>259</v>
      </c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260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261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262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20">
        <f>[2]Mar!$AC$1</f>
        <v>0</v>
      </c>
      <c r="E231" s="321"/>
      <c r="F231" s="322"/>
      <c r="G231" s="218" t="s">
        <v>167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20"/>
      <c r="P231" s="321"/>
      <c r="Q231" s="322"/>
      <c r="R231" s="218" t="s">
        <v>167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29" t="s">
        <v>370</v>
      </c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</row>
    <row r="234" spans="1:23" ht="16" customHeight="1" x14ac:dyDescent="0.15">
      <c r="A234" s="323" t="s">
        <v>263</v>
      </c>
      <c r="B234" s="323"/>
      <c r="C234" s="323"/>
      <c r="D234" s="323"/>
      <c r="E234" s="323"/>
      <c r="F234" s="323"/>
      <c r="G234" s="323"/>
      <c r="H234" s="323"/>
      <c r="I234" s="323"/>
      <c r="J234" s="323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</row>
    <row r="235" spans="1:23" ht="16" customHeight="1" x14ac:dyDescent="0.15">
      <c r="A235" s="323" t="s">
        <v>371</v>
      </c>
      <c r="B235" s="323"/>
      <c r="C235" s="323"/>
      <c r="D235" s="323"/>
      <c r="E235" s="323"/>
      <c r="F235" s="323"/>
      <c r="G235" s="323"/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264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265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266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267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20"/>
      <c r="E241" s="321"/>
      <c r="F241" s="322"/>
      <c r="G241" s="218" t="s">
        <v>167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20"/>
      <c r="P241" s="321"/>
      <c r="Q241" s="322"/>
      <c r="R241" s="218" t="s">
        <v>167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268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269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20"/>
      <c r="E245" s="321"/>
      <c r="F245" s="322"/>
      <c r="G245" s="218" t="s">
        <v>167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20"/>
      <c r="P245" s="321"/>
      <c r="Q245" s="322"/>
      <c r="R245" s="218" t="s">
        <v>167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270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271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20"/>
      <c r="E249" s="321"/>
      <c r="F249" s="322"/>
      <c r="G249" s="218" t="s">
        <v>167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20"/>
      <c r="P249" s="321"/>
      <c r="Q249" s="322"/>
      <c r="R249" s="218" t="s">
        <v>167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272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273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20"/>
      <c r="E253" s="321"/>
      <c r="F253" s="322"/>
      <c r="G253" s="218" t="s">
        <v>167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274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275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239</v>
      </c>
      <c r="P255" s="320"/>
      <c r="Q255" s="321"/>
      <c r="R255" s="322"/>
      <c r="S255" s="218" t="s">
        <v>167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20"/>
      <c r="E257" s="321"/>
      <c r="F257" s="322"/>
      <c r="G257" s="218" t="s">
        <v>167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276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277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278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20"/>
      <c r="E261" s="321"/>
      <c r="F261" s="322"/>
      <c r="G261" s="218" t="s">
        <v>167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239</v>
      </c>
      <c r="P261" s="320"/>
      <c r="Q261" s="321"/>
      <c r="R261" s="322"/>
      <c r="S261" s="218" t="s">
        <v>167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279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280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20"/>
      <c r="E265" s="321"/>
      <c r="F265" s="322"/>
      <c r="G265" s="218" t="s">
        <v>167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239</v>
      </c>
      <c r="P265" s="320"/>
      <c r="Q265" s="321"/>
      <c r="R265" s="322"/>
      <c r="S265" s="218" t="s">
        <v>167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281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66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20"/>
      <c r="E269" s="321"/>
      <c r="F269" s="322"/>
      <c r="G269" s="218" t="s">
        <v>167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20"/>
      <c r="P269" s="321"/>
      <c r="Q269" s="322"/>
      <c r="R269" s="218" t="s">
        <v>167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282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20"/>
      <c r="P273" s="321"/>
      <c r="Q273" s="322"/>
      <c r="R273" s="218" t="s">
        <v>167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283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239</v>
      </c>
      <c r="P277" s="320"/>
      <c r="Q277" s="321"/>
      <c r="R277" s="322"/>
      <c r="S277" s="218" t="s">
        <v>167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28" t="s">
        <v>284</v>
      </c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</row>
    <row r="280" spans="1:23" ht="16" customHeight="1" x14ac:dyDescent="0.15">
      <c r="A280" s="323" t="s">
        <v>285</v>
      </c>
      <c r="B280" s="369"/>
      <c r="C280" s="369"/>
      <c r="D280" s="369"/>
      <c r="E280" s="369"/>
      <c r="F280" s="369"/>
      <c r="G280" s="369"/>
      <c r="H280" s="369"/>
      <c r="I280" s="369"/>
      <c r="J280" s="285">
        <f>Admin!N4</f>
        <v>12570</v>
      </c>
      <c r="K280" s="323" t="s">
        <v>286</v>
      </c>
      <c r="L280" s="341"/>
      <c r="M280" s="341"/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</row>
    <row r="281" spans="1:23" ht="16" customHeight="1" x14ac:dyDescent="0.15">
      <c r="A281" s="368" t="s">
        <v>372</v>
      </c>
      <c r="B281" s="368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287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288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373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289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20"/>
      <c r="P286" s="321"/>
      <c r="Q286" s="322"/>
      <c r="R286" s="218" t="s">
        <v>167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290</v>
      </c>
      <c r="D288" s="220"/>
      <c r="E288" s="220"/>
      <c r="F288" s="220"/>
      <c r="G288" s="326" t="str">
        <f>Admin!G2</f>
        <v>2024-25</v>
      </c>
      <c r="H288" s="327"/>
      <c r="I288" s="327"/>
      <c r="J288" s="220" t="s">
        <v>291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374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292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29" t="s">
        <v>293</v>
      </c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294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59"/>
      <c r="D298" s="360"/>
      <c r="E298" s="360"/>
      <c r="F298" s="360"/>
      <c r="G298" s="360"/>
      <c r="H298" s="360"/>
      <c r="I298" s="360"/>
      <c r="J298" s="360"/>
      <c r="K298" s="360"/>
      <c r="L298" s="360"/>
      <c r="M298" s="360"/>
      <c r="N298" s="360"/>
      <c r="O298" s="360"/>
      <c r="P298" s="360"/>
      <c r="Q298" s="360"/>
      <c r="R298" s="360"/>
      <c r="S298" s="360"/>
      <c r="T298" s="360"/>
      <c r="U298" s="360"/>
      <c r="V298" s="361"/>
      <c r="W298" s="243"/>
    </row>
    <row r="299" spans="1:23" x14ac:dyDescent="0.15">
      <c r="A299" s="240"/>
      <c r="B299" s="220"/>
      <c r="C299" s="362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63"/>
      <c r="P299" s="363"/>
      <c r="Q299" s="363"/>
      <c r="R299" s="363"/>
      <c r="S299" s="363"/>
      <c r="T299" s="363"/>
      <c r="U299" s="363"/>
      <c r="V299" s="364"/>
      <c r="W299" s="243"/>
    </row>
    <row r="300" spans="1:23" x14ac:dyDescent="0.15">
      <c r="A300" s="240"/>
      <c r="B300" s="220"/>
      <c r="C300" s="362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63"/>
      <c r="P300" s="363"/>
      <c r="Q300" s="363"/>
      <c r="R300" s="363"/>
      <c r="S300" s="363"/>
      <c r="T300" s="363"/>
      <c r="U300" s="363"/>
      <c r="V300" s="364"/>
      <c r="W300" s="243"/>
    </row>
    <row r="301" spans="1:23" x14ac:dyDescent="0.15">
      <c r="A301" s="240"/>
      <c r="B301" s="220"/>
      <c r="C301" s="362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4"/>
      <c r="W301" s="243"/>
    </row>
    <row r="302" spans="1:23" x14ac:dyDescent="0.15">
      <c r="A302" s="240"/>
      <c r="B302" s="220"/>
      <c r="C302" s="362"/>
      <c r="D302" s="363"/>
      <c r="E302" s="363"/>
      <c r="F302" s="363"/>
      <c r="G302" s="363"/>
      <c r="H302" s="363"/>
      <c r="I302" s="363"/>
      <c r="J302" s="363"/>
      <c r="K302" s="363"/>
      <c r="L302" s="363"/>
      <c r="M302" s="363"/>
      <c r="N302" s="363"/>
      <c r="O302" s="363"/>
      <c r="P302" s="363"/>
      <c r="Q302" s="363"/>
      <c r="R302" s="363"/>
      <c r="S302" s="363"/>
      <c r="T302" s="363"/>
      <c r="U302" s="363"/>
      <c r="V302" s="364"/>
      <c r="W302" s="243"/>
    </row>
    <row r="303" spans="1:23" x14ac:dyDescent="0.15">
      <c r="A303" s="240"/>
      <c r="B303" s="220"/>
      <c r="C303" s="362"/>
      <c r="D303" s="363"/>
      <c r="E303" s="363"/>
      <c r="F303" s="363"/>
      <c r="G303" s="363"/>
      <c r="H303" s="363"/>
      <c r="I303" s="363"/>
      <c r="J303" s="363"/>
      <c r="K303" s="363"/>
      <c r="L303" s="363"/>
      <c r="M303" s="363"/>
      <c r="N303" s="363"/>
      <c r="O303" s="363"/>
      <c r="P303" s="363"/>
      <c r="Q303" s="363"/>
      <c r="R303" s="363"/>
      <c r="S303" s="363"/>
      <c r="T303" s="363"/>
      <c r="U303" s="363"/>
      <c r="V303" s="364"/>
      <c r="W303" s="243"/>
    </row>
    <row r="304" spans="1:23" x14ac:dyDescent="0.15">
      <c r="A304" s="240"/>
      <c r="B304" s="220"/>
      <c r="C304" s="362"/>
      <c r="D304" s="363"/>
      <c r="E304" s="363"/>
      <c r="F304" s="363"/>
      <c r="G304" s="363"/>
      <c r="H304" s="363"/>
      <c r="I304" s="363"/>
      <c r="J304" s="363"/>
      <c r="K304" s="363"/>
      <c r="L304" s="363"/>
      <c r="M304" s="363"/>
      <c r="N304" s="363"/>
      <c r="O304" s="363"/>
      <c r="P304" s="363"/>
      <c r="Q304" s="363"/>
      <c r="R304" s="363"/>
      <c r="S304" s="363"/>
      <c r="T304" s="363"/>
      <c r="U304" s="363"/>
      <c r="V304" s="364"/>
      <c r="W304" s="243"/>
    </row>
    <row r="305" spans="1:23" x14ac:dyDescent="0.15">
      <c r="A305" s="240"/>
      <c r="B305" s="220"/>
      <c r="C305" s="362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63"/>
      <c r="P305" s="363"/>
      <c r="Q305" s="363"/>
      <c r="R305" s="363"/>
      <c r="S305" s="363"/>
      <c r="T305" s="363"/>
      <c r="U305" s="363"/>
      <c r="V305" s="364"/>
      <c r="W305" s="243"/>
    </row>
    <row r="306" spans="1:23" x14ac:dyDescent="0.15">
      <c r="A306" s="240"/>
      <c r="B306" s="220"/>
      <c r="C306" s="362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63"/>
      <c r="P306" s="363"/>
      <c r="Q306" s="363"/>
      <c r="R306" s="363"/>
      <c r="S306" s="363"/>
      <c r="T306" s="363"/>
      <c r="U306" s="363"/>
      <c r="V306" s="364"/>
      <c r="W306" s="243"/>
    </row>
    <row r="307" spans="1:23" x14ac:dyDescent="0.15">
      <c r="A307" s="240"/>
      <c r="B307" s="220"/>
      <c r="C307" s="362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4"/>
      <c r="W307" s="243"/>
    </row>
    <row r="308" spans="1:23" x14ac:dyDescent="0.15">
      <c r="A308" s="240"/>
      <c r="B308" s="220"/>
      <c r="C308" s="362"/>
      <c r="D308" s="363"/>
      <c r="E308" s="363"/>
      <c r="F308" s="363"/>
      <c r="G308" s="363"/>
      <c r="H308" s="363"/>
      <c r="I308" s="363"/>
      <c r="J308" s="363"/>
      <c r="K308" s="363"/>
      <c r="L308" s="363"/>
      <c r="M308" s="363"/>
      <c r="N308" s="363"/>
      <c r="O308" s="363"/>
      <c r="P308" s="363"/>
      <c r="Q308" s="363"/>
      <c r="R308" s="363"/>
      <c r="S308" s="363"/>
      <c r="T308" s="363"/>
      <c r="U308" s="363"/>
      <c r="V308" s="364"/>
      <c r="W308" s="243"/>
    </row>
    <row r="309" spans="1:23" x14ac:dyDescent="0.15">
      <c r="A309" s="240"/>
      <c r="B309" s="220"/>
      <c r="C309" s="362"/>
      <c r="D309" s="363"/>
      <c r="E309" s="363"/>
      <c r="F309" s="363"/>
      <c r="G309" s="363"/>
      <c r="H309" s="363"/>
      <c r="I309" s="363"/>
      <c r="J309" s="363"/>
      <c r="K309" s="363"/>
      <c r="L309" s="363"/>
      <c r="M309" s="363"/>
      <c r="N309" s="363"/>
      <c r="O309" s="363"/>
      <c r="P309" s="363"/>
      <c r="Q309" s="363"/>
      <c r="R309" s="363"/>
      <c r="S309" s="363"/>
      <c r="T309" s="363"/>
      <c r="U309" s="363"/>
      <c r="V309" s="364"/>
      <c r="W309" s="243"/>
    </row>
    <row r="310" spans="1:23" x14ac:dyDescent="0.15">
      <c r="A310" s="240"/>
      <c r="B310" s="220"/>
      <c r="C310" s="362"/>
      <c r="D310" s="363"/>
      <c r="E310" s="363"/>
      <c r="F310" s="363"/>
      <c r="G310" s="363"/>
      <c r="H310" s="363"/>
      <c r="I310" s="363"/>
      <c r="J310" s="363"/>
      <c r="K310" s="363"/>
      <c r="L310" s="363"/>
      <c r="M310" s="363"/>
      <c r="N310" s="363"/>
      <c r="O310" s="363"/>
      <c r="P310" s="363"/>
      <c r="Q310" s="363"/>
      <c r="R310" s="363"/>
      <c r="S310" s="363"/>
      <c r="T310" s="363"/>
      <c r="U310" s="363"/>
      <c r="V310" s="364"/>
      <c r="W310" s="243"/>
    </row>
    <row r="311" spans="1:23" x14ac:dyDescent="0.15">
      <c r="A311" s="240"/>
      <c r="B311" s="220"/>
      <c r="C311" s="362"/>
      <c r="D311" s="363"/>
      <c r="E311" s="363"/>
      <c r="F311" s="363"/>
      <c r="G311" s="363"/>
      <c r="H311" s="363"/>
      <c r="I311" s="363"/>
      <c r="J311" s="363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4"/>
      <c r="W311" s="243"/>
    </row>
    <row r="312" spans="1:23" x14ac:dyDescent="0.15">
      <c r="A312" s="240"/>
      <c r="B312" s="220"/>
      <c r="C312" s="362"/>
      <c r="D312" s="363"/>
      <c r="E312" s="363"/>
      <c r="F312" s="363"/>
      <c r="G312" s="363"/>
      <c r="H312" s="363"/>
      <c r="I312" s="363"/>
      <c r="J312" s="363"/>
      <c r="K312" s="363"/>
      <c r="L312" s="363"/>
      <c r="M312" s="363"/>
      <c r="N312" s="363"/>
      <c r="O312" s="363"/>
      <c r="P312" s="363"/>
      <c r="Q312" s="363"/>
      <c r="R312" s="363"/>
      <c r="S312" s="363"/>
      <c r="T312" s="363"/>
      <c r="U312" s="363"/>
      <c r="V312" s="364"/>
      <c r="W312" s="243"/>
    </row>
    <row r="313" spans="1:23" x14ac:dyDescent="0.15">
      <c r="A313" s="240"/>
      <c r="B313" s="220"/>
      <c r="C313" s="362"/>
      <c r="D313" s="363"/>
      <c r="E313" s="363"/>
      <c r="F313" s="363"/>
      <c r="G313" s="363"/>
      <c r="H313" s="363"/>
      <c r="I313" s="363"/>
      <c r="J313" s="363"/>
      <c r="K313" s="363"/>
      <c r="L313" s="363"/>
      <c r="M313" s="363"/>
      <c r="N313" s="363"/>
      <c r="O313" s="363"/>
      <c r="P313" s="363"/>
      <c r="Q313" s="363"/>
      <c r="R313" s="363"/>
      <c r="S313" s="363"/>
      <c r="T313" s="363"/>
      <c r="U313" s="363"/>
      <c r="V313" s="364"/>
      <c r="W313" s="243"/>
    </row>
    <row r="314" spans="1:23" x14ac:dyDescent="0.15">
      <c r="A314" s="240"/>
      <c r="B314" s="220"/>
      <c r="C314" s="362"/>
      <c r="D314" s="363"/>
      <c r="E314" s="363"/>
      <c r="F314" s="363"/>
      <c r="G314" s="363"/>
      <c r="H314" s="363"/>
      <c r="I314" s="363"/>
      <c r="J314" s="363"/>
      <c r="K314" s="363"/>
      <c r="L314" s="363"/>
      <c r="M314" s="363"/>
      <c r="N314" s="363"/>
      <c r="O314" s="363"/>
      <c r="P314" s="363"/>
      <c r="Q314" s="363"/>
      <c r="R314" s="363"/>
      <c r="S314" s="363"/>
      <c r="T314" s="363"/>
      <c r="U314" s="363"/>
      <c r="V314" s="364"/>
      <c r="W314" s="243"/>
    </row>
    <row r="315" spans="1:23" x14ac:dyDescent="0.15">
      <c r="A315" s="240"/>
      <c r="B315" s="220"/>
      <c r="C315" s="362"/>
      <c r="D315" s="363"/>
      <c r="E315" s="363"/>
      <c r="F315" s="363"/>
      <c r="G315" s="363"/>
      <c r="H315" s="363"/>
      <c r="I315" s="363"/>
      <c r="J315" s="363"/>
      <c r="K315" s="363"/>
      <c r="L315" s="363"/>
      <c r="M315" s="363"/>
      <c r="N315" s="363"/>
      <c r="O315" s="363"/>
      <c r="P315" s="363"/>
      <c r="Q315" s="363"/>
      <c r="R315" s="363"/>
      <c r="S315" s="363"/>
      <c r="T315" s="363"/>
      <c r="U315" s="363"/>
      <c r="V315" s="364"/>
      <c r="W315" s="243"/>
    </row>
    <row r="316" spans="1:23" x14ac:dyDescent="0.15">
      <c r="A316" s="240"/>
      <c r="B316" s="220"/>
      <c r="C316" s="362"/>
      <c r="D316" s="363"/>
      <c r="E316" s="363"/>
      <c r="F316" s="363"/>
      <c r="G316" s="363"/>
      <c r="H316" s="363"/>
      <c r="I316" s="363"/>
      <c r="J316" s="363"/>
      <c r="K316" s="363"/>
      <c r="L316" s="363"/>
      <c r="M316" s="363"/>
      <c r="N316" s="363"/>
      <c r="O316" s="363"/>
      <c r="P316" s="363"/>
      <c r="Q316" s="363"/>
      <c r="R316" s="363"/>
      <c r="S316" s="363"/>
      <c r="T316" s="363"/>
      <c r="U316" s="363"/>
      <c r="V316" s="364"/>
      <c r="W316" s="243"/>
    </row>
    <row r="317" spans="1:23" x14ac:dyDescent="0.15">
      <c r="A317" s="240"/>
      <c r="B317" s="220"/>
      <c r="C317" s="362"/>
      <c r="D317" s="363"/>
      <c r="E317" s="363"/>
      <c r="F317" s="363"/>
      <c r="G317" s="363"/>
      <c r="H317" s="363"/>
      <c r="I317" s="363"/>
      <c r="J317" s="363"/>
      <c r="K317" s="363"/>
      <c r="L317" s="363"/>
      <c r="M317" s="363"/>
      <c r="N317" s="363"/>
      <c r="O317" s="363"/>
      <c r="P317" s="363"/>
      <c r="Q317" s="363"/>
      <c r="R317" s="363"/>
      <c r="S317" s="363"/>
      <c r="T317" s="363"/>
      <c r="U317" s="363"/>
      <c r="V317" s="364"/>
      <c r="W317" s="243"/>
    </row>
    <row r="318" spans="1:23" x14ac:dyDescent="0.15">
      <c r="A318" s="240"/>
      <c r="B318" s="220"/>
      <c r="C318" s="362"/>
      <c r="D318" s="363"/>
      <c r="E318" s="363"/>
      <c r="F318" s="363"/>
      <c r="G318" s="363"/>
      <c r="H318" s="363"/>
      <c r="I318" s="363"/>
      <c r="J318" s="363"/>
      <c r="K318" s="363"/>
      <c r="L318" s="363"/>
      <c r="M318" s="363"/>
      <c r="N318" s="363"/>
      <c r="O318" s="363"/>
      <c r="P318" s="363"/>
      <c r="Q318" s="363"/>
      <c r="R318" s="363"/>
      <c r="S318" s="363"/>
      <c r="T318" s="363"/>
      <c r="U318" s="363"/>
      <c r="V318" s="364"/>
      <c r="W318" s="243"/>
    </row>
    <row r="319" spans="1:23" x14ac:dyDescent="0.15">
      <c r="A319" s="240"/>
      <c r="B319" s="220"/>
      <c r="C319" s="362"/>
      <c r="D319" s="363"/>
      <c r="E319" s="363"/>
      <c r="F319" s="363"/>
      <c r="G319" s="363"/>
      <c r="H319" s="363"/>
      <c r="I319" s="363"/>
      <c r="J319" s="363"/>
      <c r="K319" s="363"/>
      <c r="L319" s="363"/>
      <c r="M319" s="363"/>
      <c r="N319" s="363"/>
      <c r="O319" s="363"/>
      <c r="P319" s="363"/>
      <c r="Q319" s="363"/>
      <c r="R319" s="363"/>
      <c r="S319" s="363"/>
      <c r="T319" s="363"/>
      <c r="U319" s="363"/>
      <c r="V319" s="364"/>
      <c r="W319" s="243"/>
    </row>
    <row r="320" spans="1:23" x14ac:dyDescent="0.15">
      <c r="A320" s="240"/>
      <c r="B320" s="220"/>
      <c r="C320" s="362"/>
      <c r="D320" s="363"/>
      <c r="E320" s="363"/>
      <c r="F320" s="363"/>
      <c r="G320" s="363"/>
      <c r="H320" s="363"/>
      <c r="I320" s="363"/>
      <c r="J320" s="363"/>
      <c r="K320" s="363"/>
      <c r="L320" s="363"/>
      <c r="M320" s="363"/>
      <c r="N320" s="363"/>
      <c r="O320" s="363"/>
      <c r="P320" s="363"/>
      <c r="Q320" s="363"/>
      <c r="R320" s="363"/>
      <c r="S320" s="363"/>
      <c r="T320" s="363"/>
      <c r="U320" s="363"/>
      <c r="V320" s="364"/>
      <c r="W320" s="243"/>
    </row>
    <row r="321" spans="1:23" x14ac:dyDescent="0.15">
      <c r="A321" s="240"/>
      <c r="B321" s="220"/>
      <c r="C321" s="362"/>
      <c r="D321" s="363"/>
      <c r="E321" s="363"/>
      <c r="F321" s="363"/>
      <c r="G321" s="363"/>
      <c r="H321" s="363"/>
      <c r="I321" s="363"/>
      <c r="J321" s="363"/>
      <c r="K321" s="363"/>
      <c r="L321" s="363"/>
      <c r="M321" s="363"/>
      <c r="N321" s="363"/>
      <c r="O321" s="363"/>
      <c r="P321" s="363"/>
      <c r="Q321" s="363"/>
      <c r="R321" s="363"/>
      <c r="S321" s="363"/>
      <c r="T321" s="363"/>
      <c r="U321" s="363"/>
      <c r="V321" s="364"/>
      <c r="W321" s="243"/>
    </row>
    <row r="322" spans="1:23" x14ac:dyDescent="0.15">
      <c r="A322" s="240"/>
      <c r="B322" s="220"/>
      <c r="C322" s="362"/>
      <c r="D322" s="363"/>
      <c r="E322" s="363"/>
      <c r="F322" s="363"/>
      <c r="G322" s="363"/>
      <c r="H322" s="363"/>
      <c r="I322" s="363"/>
      <c r="J322" s="363"/>
      <c r="K322" s="363"/>
      <c r="L322" s="363"/>
      <c r="M322" s="363"/>
      <c r="N322" s="363"/>
      <c r="O322" s="363"/>
      <c r="P322" s="363"/>
      <c r="Q322" s="363"/>
      <c r="R322" s="363"/>
      <c r="S322" s="363"/>
      <c r="T322" s="363"/>
      <c r="U322" s="363"/>
      <c r="V322" s="364"/>
      <c r="W322" s="243"/>
    </row>
    <row r="323" spans="1:23" x14ac:dyDescent="0.15">
      <c r="A323" s="240"/>
      <c r="B323" s="220"/>
      <c r="C323" s="365"/>
      <c r="D323" s="366"/>
      <c r="E323" s="366"/>
      <c r="F323" s="366"/>
      <c r="G323" s="366"/>
      <c r="H323" s="366"/>
      <c r="I323" s="366"/>
      <c r="J323" s="366"/>
      <c r="K323" s="366"/>
      <c r="L323" s="366"/>
      <c r="M323" s="366"/>
      <c r="N323" s="366"/>
      <c r="O323" s="366"/>
      <c r="P323" s="366"/>
      <c r="Q323" s="366"/>
      <c r="R323" s="366"/>
      <c r="S323" s="366"/>
      <c r="T323" s="366"/>
      <c r="U323" s="366"/>
      <c r="V323" s="36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A1:F2"/>
    <mergeCell ref="G1:M2"/>
    <mergeCell ref="N1:W1"/>
    <mergeCell ref="N2:P2"/>
    <mergeCell ref="Q2:T2"/>
    <mergeCell ref="V2:W2"/>
    <mergeCell ref="A12:W12"/>
    <mergeCell ref="C15:J15"/>
    <mergeCell ref="C17:J17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5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35.3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390" t="s">
        <v>50</v>
      </c>
      <c r="B2" s="157" t="s">
        <v>129</v>
      </c>
      <c r="C2" s="388">
        <f>Admin!B5</f>
        <v>45412</v>
      </c>
      <c r="D2" s="387">
        <f>Admin!B6</f>
        <v>45443</v>
      </c>
      <c r="E2" s="387">
        <f>Admin!B7</f>
        <v>45473</v>
      </c>
      <c r="F2" s="387">
        <f>Admin!B8</f>
        <v>45504</v>
      </c>
      <c r="G2" s="387">
        <f>Admin!B9</f>
        <v>45535</v>
      </c>
      <c r="H2" s="387">
        <f>Admin!B10</f>
        <v>45565</v>
      </c>
      <c r="I2" s="387">
        <f>Admin!B11</f>
        <v>45596</v>
      </c>
      <c r="J2" s="387">
        <f>Admin!B12</f>
        <v>45626</v>
      </c>
      <c r="K2" s="387">
        <f>Admin!B13</f>
        <v>45657</v>
      </c>
      <c r="L2" s="387">
        <f>Admin!B14</f>
        <v>45688</v>
      </c>
      <c r="M2" s="387">
        <f>Admin!B15</f>
        <v>45716</v>
      </c>
      <c r="N2" s="387">
        <f>Admin!B16</f>
        <v>45747</v>
      </c>
      <c r="O2" s="24"/>
    </row>
    <row r="3" spans="1:15" ht="12" customHeight="1" x14ac:dyDescent="0.15">
      <c r="A3" s="391"/>
      <c r="B3" s="158">
        <f>Admin!B$17</f>
        <v>45752</v>
      </c>
      <c r="C3" s="389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24"/>
    </row>
    <row r="4" spans="1:15" x14ac:dyDescent="0.15">
      <c r="A4" s="391"/>
      <c r="B4" s="80" t="s">
        <v>51</v>
      </c>
      <c r="C4" s="80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95" t="s">
        <v>51</v>
      </c>
      <c r="N4" s="80" t="s">
        <v>51</v>
      </c>
      <c r="O4" s="24"/>
    </row>
    <row r="5" spans="1:15" x14ac:dyDescent="0.15">
      <c r="A5" s="81" t="str">
        <f>[2]Apr!$P$3</f>
        <v>Product A Sales</v>
      </c>
      <c r="B5" s="62">
        <f>SUM(C5:N5)</f>
        <v>0</v>
      </c>
      <c r="C5" s="75">
        <f>[2]Apr!$P$1</f>
        <v>0</v>
      </c>
      <c r="D5" s="75">
        <f>[2]May!$P$1</f>
        <v>0</v>
      </c>
      <c r="E5" s="75">
        <f>[2]Jun!$P$1</f>
        <v>0</v>
      </c>
      <c r="F5" s="75">
        <f>[2]Jul!$P$1</f>
        <v>0</v>
      </c>
      <c r="G5" s="75">
        <f>[2]Aug!$P$1</f>
        <v>0</v>
      </c>
      <c r="H5" s="75">
        <f>[2]Sep!$P$1</f>
        <v>0</v>
      </c>
      <c r="I5" s="75">
        <f>[2]Oct!$P$1</f>
        <v>0</v>
      </c>
      <c r="J5" s="75">
        <f>[2]Nov!$P$1</f>
        <v>0</v>
      </c>
      <c r="K5" s="75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tr">
        <f>[2]Apr!$Q$3</f>
        <v>Product B Sales</v>
      </c>
      <c r="B6" s="62">
        <f>SUM(C6:N6)</f>
        <v>0</v>
      </c>
      <c r="C6" s="75">
        <f>[2]Apr!$Q$1</f>
        <v>0</v>
      </c>
      <c r="D6" s="75">
        <f>[2]May!$Q$1</f>
        <v>0</v>
      </c>
      <c r="E6" s="75">
        <f>[2]Jun!$Q$1</f>
        <v>0</v>
      </c>
      <c r="F6" s="75">
        <f>[2]Jul!$Q$1</f>
        <v>0</v>
      </c>
      <c r="G6" s="75">
        <f>[2]Aug!$Q$1</f>
        <v>0</v>
      </c>
      <c r="H6" s="75">
        <f>[2]Sep!$Q$1</f>
        <v>0</v>
      </c>
      <c r="I6" s="75">
        <f>[2]Oct!$Q$1</f>
        <v>0</v>
      </c>
      <c r="J6" s="75">
        <f>[2]Nov!$Q$1</f>
        <v>0</v>
      </c>
      <c r="K6" s="75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tr">
        <f>[2]Apr!$R$3</f>
        <v>Product C Sales</v>
      </c>
      <c r="B7" s="62">
        <f>SUM(C7:N7)</f>
        <v>0</v>
      </c>
      <c r="C7" s="75">
        <f>[2]Apr!$R$1</f>
        <v>0</v>
      </c>
      <c r="D7" s="75">
        <f>[2]May!$R$1</f>
        <v>0</v>
      </c>
      <c r="E7" s="75">
        <f>[2]Jun!$R$1</f>
        <v>0</v>
      </c>
      <c r="F7" s="75">
        <f>[2]Jul!$R$1</f>
        <v>0</v>
      </c>
      <c r="G7" s="75">
        <f>[2]Aug!$R$1</f>
        <v>0</v>
      </c>
      <c r="H7" s="75">
        <f>[2]Sep!$R$1</f>
        <v>0</v>
      </c>
      <c r="I7" s="75">
        <f>[2]Oct!$R$1</f>
        <v>0</v>
      </c>
      <c r="J7" s="75">
        <f>[2]Nov!$R$1</f>
        <v>0</v>
      </c>
      <c r="K7" s="75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tr">
        <f>[2]Apr!$S$3</f>
        <v>Product 4 Sales</v>
      </c>
      <c r="B8" s="62">
        <f t="shared" ref="B8:B12" si="0">SUM(C8:N8)</f>
        <v>0</v>
      </c>
      <c r="C8" s="75">
        <f>[2]Apr!$S$1</f>
        <v>0</v>
      </c>
      <c r="D8" s="75">
        <f>[2]May!$S$1</f>
        <v>0</v>
      </c>
      <c r="E8" s="75">
        <f>[2]Jun!$S$1</f>
        <v>0</v>
      </c>
      <c r="F8" s="75">
        <f>[2]Jul!$S$1</f>
        <v>0</v>
      </c>
      <c r="G8" s="75">
        <f>[2]Aug!$S$1</f>
        <v>0</v>
      </c>
      <c r="H8" s="75">
        <f>[2]Sep!$S$1</f>
        <v>0</v>
      </c>
      <c r="I8" s="75">
        <f>[2]Oct!$S$1</f>
        <v>0</v>
      </c>
      <c r="J8" s="75">
        <f>[2]Nov!$S$1</f>
        <v>0</v>
      </c>
      <c r="K8" s="75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x14ac:dyDescent="0.15">
      <c r="A9" s="81" t="str">
        <f>[2]Apr!$T$3</f>
        <v>Product 5 Sales</v>
      </c>
      <c r="B9" s="62">
        <f t="shared" si="0"/>
        <v>0</v>
      </c>
      <c r="C9" s="75">
        <f>[2]Apr!$T$1</f>
        <v>0</v>
      </c>
      <c r="D9" s="75">
        <f>[2]May!$T$1</f>
        <v>0</v>
      </c>
      <c r="E9" s="75">
        <f>[2]Jun!$T$1</f>
        <v>0</v>
      </c>
      <c r="F9" s="75">
        <f>[2]Jul!$T$1</f>
        <v>0</v>
      </c>
      <c r="G9" s="75">
        <f>[2]Aug!$T$1</f>
        <v>0</v>
      </c>
      <c r="H9" s="75">
        <f>[2]Sep!$T$1</f>
        <v>0</v>
      </c>
      <c r="I9" s="75">
        <f>[2]Oct!$T$1</f>
        <v>0</v>
      </c>
      <c r="J9" s="75">
        <f>[2]Nov!$T$1</f>
        <v>0</v>
      </c>
      <c r="K9" s="75">
        <f>[2]Dec!$T$1</f>
        <v>0</v>
      </c>
      <c r="L9" s="75">
        <f>[2]Jan!$T$1</f>
        <v>0</v>
      </c>
      <c r="M9" s="75">
        <f>[2]Feb!$T$1</f>
        <v>0</v>
      </c>
      <c r="N9" s="75">
        <f>[2]Mar!$T$1</f>
        <v>0</v>
      </c>
      <c r="O9" s="24"/>
    </row>
    <row r="10" spans="1:15" x14ac:dyDescent="0.15">
      <c r="A10" s="81" t="str">
        <f>[2]Apr!$U$3</f>
        <v>Product 6 Sales</v>
      </c>
      <c r="B10" s="62">
        <f t="shared" si="0"/>
        <v>0</v>
      </c>
      <c r="C10" s="75">
        <f>[2]Apr!$U$1</f>
        <v>0</v>
      </c>
      <c r="D10" s="75">
        <f>[2]May!$U$1</f>
        <v>0</v>
      </c>
      <c r="E10" s="75">
        <f>[2]Jun!$U$1</f>
        <v>0</v>
      </c>
      <c r="F10" s="75">
        <f>[2]Jul!$U$1</f>
        <v>0</v>
      </c>
      <c r="G10" s="75">
        <f>[2]Aug!$U$1</f>
        <v>0</v>
      </c>
      <c r="H10" s="75">
        <f>[2]Sep!$U$1</f>
        <v>0</v>
      </c>
      <c r="I10" s="75">
        <f>[2]Oct!$U$1</f>
        <v>0</v>
      </c>
      <c r="J10" s="75">
        <f>[2]Nov!$U$1</f>
        <v>0</v>
      </c>
      <c r="K10" s="75">
        <f>[2]Dec!$U$1</f>
        <v>0</v>
      </c>
      <c r="L10" s="75">
        <f>[2]Jan!$U$1</f>
        <v>0</v>
      </c>
      <c r="M10" s="75">
        <f>[2]Feb!$U$1</f>
        <v>0</v>
      </c>
      <c r="N10" s="75">
        <f>[2]Mar!$U$1</f>
        <v>0</v>
      </c>
      <c r="O10" s="24"/>
    </row>
    <row r="11" spans="1:15" x14ac:dyDescent="0.15">
      <c r="A11" s="81" t="str">
        <f>[2]Apr!$V$3</f>
        <v>Product 7 Sales</v>
      </c>
      <c r="B11" s="62">
        <f t="shared" si="0"/>
        <v>0</v>
      </c>
      <c r="C11" s="75">
        <f>[2]Apr!$V$1</f>
        <v>0</v>
      </c>
      <c r="D11" s="75">
        <f>[2]May!$V$1</f>
        <v>0</v>
      </c>
      <c r="E11" s="75">
        <f>[2]Jun!$V$1</f>
        <v>0</v>
      </c>
      <c r="F11" s="75">
        <f>[2]Jul!$V$1</f>
        <v>0</v>
      </c>
      <c r="G11" s="75">
        <f>[2]Aug!$V$1</f>
        <v>0</v>
      </c>
      <c r="H11" s="75">
        <f>[2]Sep!$V$1</f>
        <v>0</v>
      </c>
      <c r="I11" s="75">
        <f>[2]Oct!$V$1</f>
        <v>0</v>
      </c>
      <c r="J11" s="75">
        <f>[2]Nov!$V$1</f>
        <v>0</v>
      </c>
      <c r="K11" s="75">
        <f>[2]Dec!$V$1</f>
        <v>0</v>
      </c>
      <c r="L11" s="75">
        <f>[2]Jan!$V$1</f>
        <v>0</v>
      </c>
      <c r="M11" s="75">
        <f>[2]Feb!$V$1</f>
        <v>0</v>
      </c>
      <c r="N11" s="75">
        <f>[2]Mar!$V$1</f>
        <v>0</v>
      </c>
      <c r="O11" s="24"/>
    </row>
    <row r="12" spans="1:15" x14ac:dyDescent="0.15">
      <c r="A12" s="81" t="str">
        <f>[2]Apr!$W$3</f>
        <v>Product 8 Sales</v>
      </c>
      <c r="B12" s="62">
        <f t="shared" si="0"/>
        <v>0</v>
      </c>
      <c r="C12" s="75">
        <f>[2]Apr!$W$1</f>
        <v>0</v>
      </c>
      <c r="D12" s="75">
        <f>[2]May!$W$1</f>
        <v>0</v>
      </c>
      <c r="E12" s="75">
        <f>[2]Jun!$W$1</f>
        <v>0</v>
      </c>
      <c r="F12" s="75">
        <f>[2]Jul!$W$1</f>
        <v>0</v>
      </c>
      <c r="G12" s="75">
        <f>[2]Aug!$W$1</f>
        <v>0</v>
      </c>
      <c r="H12" s="75">
        <f>[2]Sep!$W$1</f>
        <v>0</v>
      </c>
      <c r="I12" s="75">
        <f>[2]Oct!$W$1</f>
        <v>0</v>
      </c>
      <c r="J12" s="75">
        <f>[2]Nov!$W$1</f>
        <v>0</v>
      </c>
      <c r="K12" s="75">
        <f>[2]Dec!$W$1</f>
        <v>0</v>
      </c>
      <c r="L12" s="75">
        <f>[2]Jan!$W$1</f>
        <v>0</v>
      </c>
      <c r="M12" s="75">
        <f>[2]Feb!$W$1</f>
        <v>0</v>
      </c>
      <c r="N12" s="75">
        <f>[2]Mar!$W$1</f>
        <v>0</v>
      </c>
      <c r="O12" s="24"/>
    </row>
    <row r="13" spans="1:15" x14ac:dyDescent="0.15">
      <c r="A13" s="81" t="s">
        <v>52</v>
      </c>
      <c r="B13" s="62">
        <f>SUM(C13:N13)</f>
        <v>0</v>
      </c>
      <c r="C13" s="75">
        <f>[2]Apr!$X$1</f>
        <v>0</v>
      </c>
      <c r="D13" s="75">
        <f>[2]May!$X$1</f>
        <v>0</v>
      </c>
      <c r="E13" s="75">
        <f>[2]Jun!$X$1</f>
        <v>0</v>
      </c>
      <c r="F13" s="75">
        <f>[2]Jul!$X$1</f>
        <v>0</v>
      </c>
      <c r="G13" s="75">
        <f>[2]Aug!$X$1</f>
        <v>0</v>
      </c>
      <c r="H13" s="75">
        <f>[2]Sep!$X$1</f>
        <v>0</v>
      </c>
      <c r="I13" s="75">
        <f>[2]Oct!$X$1</f>
        <v>0</v>
      </c>
      <c r="J13" s="75">
        <f>[2]Nov!$X$1</f>
        <v>0</v>
      </c>
      <c r="K13" s="75">
        <f>[2]Dec!$X$1</f>
        <v>0</v>
      </c>
      <c r="L13" s="75">
        <f>[2]Jan!$X$1</f>
        <v>0</v>
      </c>
      <c r="M13" s="75">
        <f>[2]Feb!$X$1</f>
        <v>0</v>
      </c>
      <c r="N13" s="75">
        <f>[2]Mar!$X$1</f>
        <v>0</v>
      </c>
      <c r="O13" s="24"/>
    </row>
    <row r="14" spans="1:15" s="84" customFormat="1" x14ac:dyDescent="0.15">
      <c r="A14" s="82" t="s">
        <v>1</v>
      </c>
      <c r="B14" s="62">
        <f t="shared" ref="B14:N14" si="1">SUM(B5:B13)</f>
        <v>0</v>
      </c>
      <c r="C14" s="62">
        <f t="shared" si="1"/>
        <v>0</v>
      </c>
      <c r="D14" s="62">
        <f t="shared" si="1"/>
        <v>0</v>
      </c>
      <c r="E14" s="62">
        <f t="shared" si="1"/>
        <v>0</v>
      </c>
      <c r="F14" s="62">
        <f t="shared" si="1"/>
        <v>0</v>
      </c>
      <c r="G14" s="62">
        <f t="shared" si="1"/>
        <v>0</v>
      </c>
      <c r="H14" s="62">
        <f t="shared" si="1"/>
        <v>0</v>
      </c>
      <c r="I14" s="62">
        <f t="shared" si="1"/>
        <v>0</v>
      </c>
      <c r="J14" s="62">
        <f t="shared" si="1"/>
        <v>0</v>
      </c>
      <c r="K14" s="62">
        <f t="shared" si="1"/>
        <v>0</v>
      </c>
      <c r="L14" s="62">
        <f t="shared" si="1"/>
        <v>0</v>
      </c>
      <c r="M14" s="62">
        <f t="shared" si="1"/>
        <v>0</v>
      </c>
      <c r="N14" s="62">
        <f t="shared" si="1"/>
        <v>0</v>
      </c>
      <c r="O14" s="83"/>
    </row>
    <row r="15" spans="1:15" s="119" customFormat="1" ht="6" customHeight="1" x14ac:dyDescent="0.15">
      <c r="A15" s="8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83"/>
    </row>
    <row r="16" spans="1:15" x14ac:dyDescent="0.15">
      <c r="A16" s="81" t="s">
        <v>53</v>
      </c>
      <c r="B16" s="62">
        <f>SUM(C16:N16)</f>
        <v>0</v>
      </c>
      <c r="C16" s="75">
        <f>[2]Apr!$Y$1</f>
        <v>0</v>
      </c>
      <c r="D16" s="75">
        <f>[2]May!$Y$1</f>
        <v>0</v>
      </c>
      <c r="E16" s="75">
        <f>[2]Jun!$Y$1</f>
        <v>0</v>
      </c>
      <c r="F16" s="75">
        <f>[2]Jul!$Y$1</f>
        <v>0</v>
      </c>
      <c r="G16" s="75">
        <f>[2]Aug!$Y$1</f>
        <v>0</v>
      </c>
      <c r="H16" s="75">
        <f>[2]Sep!$Y$1</f>
        <v>0</v>
      </c>
      <c r="I16" s="75">
        <f>[2]Oct!$Y$1</f>
        <v>0</v>
      </c>
      <c r="J16" s="75">
        <f>[2]Nov!$Y$1</f>
        <v>0</v>
      </c>
      <c r="K16" s="75">
        <f>[2]Dec!$Y$1</f>
        <v>0</v>
      </c>
      <c r="L16" s="75">
        <f>[2]Jan!$Y$1</f>
        <v>0</v>
      </c>
      <c r="M16" s="75">
        <f>[2]Feb!$Y$1</f>
        <v>0</v>
      </c>
      <c r="N16" s="75">
        <f>[2]Mar!$Y$1</f>
        <v>0</v>
      </c>
      <c r="O16" s="24"/>
    </row>
    <row r="17" spans="1:15" s="23" customFormat="1" ht="6" customHeight="1" x14ac:dyDescent="0.15">
      <c r="A17" s="81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24"/>
    </row>
    <row r="18" spans="1:15" s="84" customFormat="1" ht="10.5" customHeight="1" x14ac:dyDescent="0.15">
      <c r="A18" s="85" t="s">
        <v>69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x14ac:dyDescent="0.15">
      <c r="A19" s="81" t="s">
        <v>68</v>
      </c>
      <c r="B19" s="62">
        <f>SUM(C19:N19)</f>
        <v>0</v>
      </c>
      <c r="C19" s="75">
        <f>[3]Apr!$P$1+StockControl!AB6-StockControl!AB8</f>
        <v>0</v>
      </c>
      <c r="D19" s="75">
        <f>[3]May!$P$1+StockControl!AB8-StockControl!AB10</f>
        <v>0</v>
      </c>
      <c r="E19" s="75">
        <f>[3]Jun!$P$1+StockControl!AB10-StockControl!AB12</f>
        <v>0</v>
      </c>
      <c r="F19" s="75">
        <f>[3]Jul!$P$1+StockControl!AB12-StockControl!AB14</f>
        <v>0</v>
      </c>
      <c r="G19" s="75">
        <f>[3]Aug!$P$1+StockControl!AB14-StockControl!AB16</f>
        <v>0</v>
      </c>
      <c r="H19" s="75">
        <f>[3]Sep!$P$1+StockControl!AB16-StockControl!AB18</f>
        <v>0</v>
      </c>
      <c r="I19" s="75">
        <f>[3]Oct!$P$1+StockControl!AB18-StockControl!AB20</f>
        <v>0</v>
      </c>
      <c r="J19" s="75">
        <f>[3]Nov!$P$1+StockControl!AB20-StockControl!AB22</f>
        <v>0</v>
      </c>
      <c r="K19" s="75">
        <f>[3]Dec!$P$1+StockControl!AB22-StockControl!AB24</f>
        <v>0</v>
      </c>
      <c r="L19" s="75">
        <f>[3]Jan!$P$1+StockControl!AB24-StockControl!AB26</f>
        <v>0</v>
      </c>
      <c r="M19" s="75">
        <f>[3]Feb!$P$1+StockControl!AB26-StockControl!AB28</f>
        <v>0</v>
      </c>
      <c r="N19" s="75">
        <f>[3]Mar!$P$1+StockControl!AB28-StockControl!AB30</f>
        <v>0</v>
      </c>
      <c r="O19" s="24"/>
    </row>
    <row r="20" spans="1:15" x14ac:dyDescent="0.15">
      <c r="A20" s="81" t="s">
        <v>55</v>
      </c>
      <c r="B20" s="62">
        <f>SUM(C20:N20)</f>
        <v>0</v>
      </c>
      <c r="C20" s="75">
        <f>[3]Apr!$Q$1</f>
        <v>0</v>
      </c>
      <c r="D20" s="75">
        <f>[3]May!$Q$1</f>
        <v>0</v>
      </c>
      <c r="E20" s="75">
        <f>[3]Jun!$Q$1</f>
        <v>0</v>
      </c>
      <c r="F20" s="75">
        <f>[3]Jul!$Q$1</f>
        <v>0</v>
      </c>
      <c r="G20" s="75">
        <f>[3]Aug!$Q$1</f>
        <v>0</v>
      </c>
      <c r="H20" s="75">
        <f>[3]Sep!$Q$1</f>
        <v>0</v>
      </c>
      <c r="I20" s="75">
        <f>[3]Oct!$Q$1</f>
        <v>0</v>
      </c>
      <c r="J20" s="75">
        <f>[3]Nov!$Q$1</f>
        <v>0</v>
      </c>
      <c r="K20" s="75">
        <f>[3]Dec!$Q$1</f>
        <v>0</v>
      </c>
      <c r="L20" s="75">
        <f>[3]Jan!$Q$1</f>
        <v>0</v>
      </c>
      <c r="M20" s="75">
        <f>[3]Feb!$Q$1</f>
        <v>0</v>
      </c>
      <c r="N20" s="75">
        <f>[3]Mar!$Q$1</f>
        <v>0</v>
      </c>
      <c r="O20" s="24"/>
    </row>
    <row r="21" spans="1:15" x14ac:dyDescent="0.15">
      <c r="A21" s="81" t="s">
        <v>56</v>
      </c>
      <c r="B21" s="62">
        <f>SUM(C21:N21)</f>
        <v>0</v>
      </c>
      <c r="C21" s="75">
        <f>[3]Apr!$R$1</f>
        <v>0</v>
      </c>
      <c r="D21" s="75">
        <f>[3]May!$R$1</f>
        <v>0</v>
      </c>
      <c r="E21" s="75">
        <f>[3]Jun!$R$1</f>
        <v>0</v>
      </c>
      <c r="F21" s="75">
        <f>[3]Jul!$R$1</f>
        <v>0</v>
      </c>
      <c r="G21" s="75">
        <f>[3]Aug!$R$1</f>
        <v>0</v>
      </c>
      <c r="H21" s="75">
        <f>[3]Sep!$R$1</f>
        <v>0</v>
      </c>
      <c r="I21" s="75">
        <f>[3]Oct!$R$1</f>
        <v>0</v>
      </c>
      <c r="J21" s="75">
        <f>[3]Nov!$R$1</f>
        <v>0</v>
      </c>
      <c r="K21" s="75">
        <f>[3]Dec!$R$1</f>
        <v>0</v>
      </c>
      <c r="L21" s="75">
        <f>[3]Jan!$R$1</f>
        <v>0</v>
      </c>
      <c r="M21" s="75">
        <f>[3]Feb!$R$1</f>
        <v>0</v>
      </c>
      <c r="N21" s="75">
        <f>[3]Mar!$R$1</f>
        <v>0</v>
      </c>
      <c r="O21" s="24"/>
    </row>
    <row r="22" spans="1:15" s="84" customFormat="1" x14ac:dyDescent="0.15">
      <c r="A22" s="82" t="s">
        <v>54</v>
      </c>
      <c r="B22" s="62">
        <f t="shared" ref="B22:N22" si="2">SUM(B19:B21)</f>
        <v>0</v>
      </c>
      <c r="C22" s="62">
        <f t="shared" si="2"/>
        <v>0</v>
      </c>
      <c r="D22" s="62">
        <f t="shared" si="2"/>
        <v>0</v>
      </c>
      <c r="E22" s="62">
        <f t="shared" si="2"/>
        <v>0</v>
      </c>
      <c r="F22" s="62">
        <f t="shared" si="2"/>
        <v>0</v>
      </c>
      <c r="G22" s="62">
        <f t="shared" si="2"/>
        <v>0</v>
      </c>
      <c r="H22" s="62">
        <f t="shared" si="2"/>
        <v>0</v>
      </c>
      <c r="I22" s="62">
        <f t="shared" si="2"/>
        <v>0</v>
      </c>
      <c r="J22" s="62">
        <f t="shared" si="2"/>
        <v>0</v>
      </c>
      <c r="K22" s="62">
        <f t="shared" si="2"/>
        <v>0</v>
      </c>
      <c r="L22" s="62">
        <f t="shared" si="2"/>
        <v>0</v>
      </c>
      <c r="M22" s="62">
        <f t="shared" si="2"/>
        <v>0</v>
      </c>
      <c r="N22" s="62">
        <f t="shared" si="2"/>
        <v>0</v>
      </c>
      <c r="O22" s="83"/>
    </row>
    <row r="23" spans="1:15" s="84" customFormat="1" ht="7.5" customHeight="1" x14ac:dyDescent="0.15">
      <c r="A23" s="82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83"/>
    </row>
    <row r="24" spans="1:15" s="84" customFormat="1" x14ac:dyDescent="0.15">
      <c r="A24" s="82" t="s">
        <v>2</v>
      </c>
      <c r="B24" s="62">
        <f>B14+B16-B22</f>
        <v>0</v>
      </c>
      <c r="C24" s="62">
        <f>C14+C16-C22</f>
        <v>0</v>
      </c>
      <c r="D24" s="62">
        <f t="shared" ref="D24:N24" si="3">D14+D16-D22</f>
        <v>0</v>
      </c>
      <c r="E24" s="62">
        <f t="shared" si="3"/>
        <v>0</v>
      </c>
      <c r="F24" s="62">
        <f t="shared" si="3"/>
        <v>0</v>
      </c>
      <c r="G24" s="62">
        <f t="shared" si="3"/>
        <v>0</v>
      </c>
      <c r="H24" s="62">
        <f t="shared" si="3"/>
        <v>0</v>
      </c>
      <c r="I24" s="62">
        <f t="shared" si="3"/>
        <v>0</v>
      </c>
      <c r="J24" s="62">
        <f t="shared" si="3"/>
        <v>0</v>
      </c>
      <c r="K24" s="62">
        <f t="shared" si="3"/>
        <v>0</v>
      </c>
      <c r="L24" s="62">
        <f t="shared" si="3"/>
        <v>0</v>
      </c>
      <c r="M24" s="62">
        <f t="shared" si="3"/>
        <v>0</v>
      </c>
      <c r="N24" s="62">
        <f t="shared" si="3"/>
        <v>0</v>
      </c>
      <c r="O24" s="83"/>
    </row>
    <row r="25" spans="1:15" s="84" customFormat="1" ht="10.5" customHeight="1" x14ac:dyDescent="0.15">
      <c r="A25" s="85" t="s">
        <v>57</v>
      </c>
      <c r="B25" s="54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3"/>
    </row>
    <row r="26" spans="1:15" x14ac:dyDescent="0.15">
      <c r="A26" s="81" t="s">
        <v>58</v>
      </c>
      <c r="B26" s="62">
        <f t="shared" ref="B26:B44" si="4">SUM(C26:N26)</f>
        <v>0</v>
      </c>
      <c r="C26" s="75">
        <f>[3]Apr!$S$1+Wagesinterface!C4+Wagesinterface!H4-Wagesinterface!I4</f>
        <v>0</v>
      </c>
      <c r="D26" s="75">
        <f>[3]May!$S$1+Wagesinterface!C5+Wagesinterface!H5-Wagesinterface!I5</f>
        <v>0</v>
      </c>
      <c r="E26" s="75">
        <f>[3]Jun!$S$1+Wagesinterface!C6+Wagesinterface!H6-Wagesinterface!I6</f>
        <v>0</v>
      </c>
      <c r="F26" s="75">
        <f>[3]Jul!$S$1+Wagesinterface!C7+Wagesinterface!H7-Wagesinterface!I7</f>
        <v>0</v>
      </c>
      <c r="G26" s="75">
        <f>[3]Aug!$S$1+Wagesinterface!C8+Wagesinterface!H8-Wagesinterface!I8</f>
        <v>0</v>
      </c>
      <c r="H26" s="75">
        <f>[3]Sep!$S$1+Wagesinterface!C9+Wagesinterface!H9-Wagesinterface!I9</f>
        <v>0</v>
      </c>
      <c r="I26" s="75">
        <f>[3]Oct!$S$1+Wagesinterface!C10+Wagesinterface!H10-Wagesinterface!I10</f>
        <v>0</v>
      </c>
      <c r="J26" s="75">
        <f>[3]Nov!$S$1+Wagesinterface!C11+Wagesinterface!H11-Wagesinterface!I11</f>
        <v>0</v>
      </c>
      <c r="K26" s="75">
        <f>[3]Dec!$S$1+Wagesinterface!C12+Wagesinterface!H12-Wagesinterface!I12</f>
        <v>0</v>
      </c>
      <c r="L26" s="75">
        <f>[3]Jan!$S$1+Wagesinterface!C13+Wagesinterface!H13-Wagesinterface!I13</f>
        <v>0</v>
      </c>
      <c r="M26" s="75">
        <f>[3]Feb!$S$1+Wagesinterface!C14+Wagesinterface!H14-Wagesinterface!I14</f>
        <v>0</v>
      </c>
      <c r="N26" s="75">
        <f>[3]Mar!$S$1+Wagesinterface!C15+Wagesinterface!H15-Wagesinterface!I15</f>
        <v>0</v>
      </c>
      <c r="O26" s="24"/>
    </row>
    <row r="27" spans="1:15" x14ac:dyDescent="0.15">
      <c r="A27" s="87" t="str">
        <f>[3]Apr!$T$3</f>
        <v>Use of Residence</v>
      </c>
      <c r="B27" s="62">
        <f t="shared" si="4"/>
        <v>0</v>
      </c>
      <c r="C27" s="75">
        <f>[3]Apr!$T$1</f>
        <v>0</v>
      </c>
      <c r="D27" s="75">
        <f>[3]May!$T$1</f>
        <v>0</v>
      </c>
      <c r="E27" s="75">
        <f>[3]Jun!$T$1</f>
        <v>0</v>
      </c>
      <c r="F27" s="75">
        <f>[3]Jul!$T$1</f>
        <v>0</v>
      </c>
      <c r="G27" s="75">
        <f>[3]Aug!$T$1</f>
        <v>0</v>
      </c>
      <c r="H27" s="75">
        <f>[3]Sep!$T$1</f>
        <v>0</v>
      </c>
      <c r="I27" s="75">
        <f>[3]Oct!$T$1</f>
        <v>0</v>
      </c>
      <c r="J27" s="75">
        <f>[3]Nov!$T$1</f>
        <v>0</v>
      </c>
      <c r="K27" s="75">
        <f>[3]Dec!$T$1</f>
        <v>0</v>
      </c>
      <c r="L27" s="75">
        <f>[3]Jan!$T$1</f>
        <v>0</v>
      </c>
      <c r="M27" s="75">
        <f>[3]Feb!$T$1</f>
        <v>0</v>
      </c>
      <c r="N27" s="75">
        <f>[3]Mar!$T$1</f>
        <v>0</v>
      </c>
      <c r="O27" s="24"/>
    </row>
    <row r="28" spans="1:15" x14ac:dyDescent="0.15">
      <c r="A28" s="87" t="str">
        <f>[3]Apr!$U$2</f>
        <v>Repairs and Renewals</v>
      </c>
      <c r="B28" s="62">
        <f t="shared" si="4"/>
        <v>0</v>
      </c>
      <c r="C28" s="75">
        <f>[3]Apr!$U$1</f>
        <v>0</v>
      </c>
      <c r="D28" s="75">
        <f>[3]May!$U$1</f>
        <v>0</v>
      </c>
      <c r="E28" s="75">
        <f>[3]Jun!$U$1</f>
        <v>0</v>
      </c>
      <c r="F28" s="75">
        <f>[3]Jul!$U$1</f>
        <v>0</v>
      </c>
      <c r="G28" s="75">
        <f>[3]Aug!$U$1</f>
        <v>0</v>
      </c>
      <c r="H28" s="75">
        <f>[3]Sep!$U$1</f>
        <v>0</v>
      </c>
      <c r="I28" s="75">
        <f>[3]Oct!$U$1</f>
        <v>0</v>
      </c>
      <c r="J28" s="75">
        <f>[3]Nov!$U$1</f>
        <v>0</v>
      </c>
      <c r="K28" s="75">
        <f>[3]Dec!$U$1</f>
        <v>0</v>
      </c>
      <c r="L28" s="75">
        <f>[3]Jan!$U$1</f>
        <v>0</v>
      </c>
      <c r="M28" s="75">
        <f>[3]Feb!$U$1</f>
        <v>0</v>
      </c>
      <c r="N28" s="75">
        <f>[3]Mar!$U$1</f>
        <v>0</v>
      </c>
      <c r="O28" s="24"/>
    </row>
    <row r="29" spans="1:15" x14ac:dyDescent="0.15">
      <c r="A29" s="87" t="str">
        <f>[3]Apr!$V$2</f>
        <v>Post and Stationery</v>
      </c>
      <c r="B29" s="62">
        <f t="shared" si="4"/>
        <v>0</v>
      </c>
      <c r="C29" s="75">
        <f>[3]Apr!$V$1</f>
        <v>0</v>
      </c>
      <c r="D29" s="75">
        <f>[3]May!$V$1</f>
        <v>0</v>
      </c>
      <c r="E29" s="75">
        <f>[3]Jun!$V$1</f>
        <v>0</v>
      </c>
      <c r="F29" s="75">
        <f>[3]Jul!$V$1</f>
        <v>0</v>
      </c>
      <c r="G29" s="75">
        <f>[3]Aug!$V$1</f>
        <v>0</v>
      </c>
      <c r="H29" s="75">
        <f>[3]Sep!$V$1</f>
        <v>0</v>
      </c>
      <c r="I29" s="75">
        <f>[3]Oct!$V$1</f>
        <v>0</v>
      </c>
      <c r="J29" s="75">
        <f>[3]Nov!$V$1</f>
        <v>0</v>
      </c>
      <c r="K29" s="75">
        <f>[3]Dec!$V$1</f>
        <v>0</v>
      </c>
      <c r="L29" s="75">
        <f>[3]Jan!$V$1</f>
        <v>0</v>
      </c>
      <c r="M29" s="75">
        <f>[3]Feb!$V$1</f>
        <v>0</v>
      </c>
      <c r="N29" s="75">
        <f>[3]Mar!$V$1</f>
        <v>0</v>
      </c>
      <c r="O29" s="24"/>
    </row>
    <row r="30" spans="1:15" x14ac:dyDescent="0.15">
      <c r="A30" s="87" t="str">
        <f>[3]Apr!$W$3</f>
        <v>Motor Vehicle Expenses</v>
      </c>
      <c r="B30" s="62">
        <f t="shared" si="4"/>
        <v>0</v>
      </c>
      <c r="C30" s="75">
        <f>[3]Apr!$W$1</f>
        <v>0</v>
      </c>
      <c r="D30" s="75">
        <f>[3]May!$W$1</f>
        <v>0</v>
      </c>
      <c r="E30" s="75">
        <f>[3]Jun!$W$1</f>
        <v>0</v>
      </c>
      <c r="F30" s="75">
        <f>[3]Jul!$W$1</f>
        <v>0</v>
      </c>
      <c r="G30" s="75">
        <f>[3]Aug!$W$1</f>
        <v>0</v>
      </c>
      <c r="H30" s="75">
        <f>[3]Sep!$W$1</f>
        <v>0</v>
      </c>
      <c r="I30" s="75">
        <f>[3]Oct!$W$1</f>
        <v>0</v>
      </c>
      <c r="J30" s="75">
        <f>[3]Nov!$W$1</f>
        <v>0</v>
      </c>
      <c r="K30" s="75">
        <f>[3]Dec!$W$1</f>
        <v>0</v>
      </c>
      <c r="L30" s="75">
        <f>[3]Jan!$W$1</f>
        <v>0</v>
      </c>
      <c r="M30" s="75">
        <f>[3]Feb!$W$1</f>
        <v>0</v>
      </c>
      <c r="N30" s="75">
        <f>[3]Mar!$W$1</f>
        <v>0</v>
      </c>
      <c r="O30" s="24"/>
    </row>
    <row r="31" spans="1:15" x14ac:dyDescent="0.15">
      <c r="A31" s="87" t="str">
        <f>[3]Apr!$X$2</f>
        <v>Travelling and Subsistence</v>
      </c>
      <c r="B31" s="62">
        <f t="shared" si="4"/>
        <v>0</v>
      </c>
      <c r="C31" s="75">
        <f>[3]Apr!$X$1</f>
        <v>0</v>
      </c>
      <c r="D31" s="75">
        <f>[3]May!$X$1</f>
        <v>0</v>
      </c>
      <c r="E31" s="75">
        <f>[3]Jun!$X$1</f>
        <v>0</v>
      </c>
      <c r="F31" s="75">
        <f>[3]Jul!$X$1</f>
        <v>0</v>
      </c>
      <c r="G31" s="75">
        <f>[3]Aug!$X$1</f>
        <v>0</v>
      </c>
      <c r="H31" s="75">
        <f>[3]Sep!$X$1</f>
        <v>0</v>
      </c>
      <c r="I31" s="75">
        <f>[3]Oct!$X$1</f>
        <v>0</v>
      </c>
      <c r="J31" s="75">
        <f>[3]Nov!$X$1</f>
        <v>0</v>
      </c>
      <c r="K31" s="75">
        <f>[3]Dec!$X$1</f>
        <v>0</v>
      </c>
      <c r="L31" s="75">
        <f>[3]Jan!$X$1</f>
        <v>0</v>
      </c>
      <c r="M31" s="75">
        <f>[3]Feb!$X$1</f>
        <v>0</v>
      </c>
      <c r="N31" s="75">
        <f>[3]Mar!$X$1</f>
        <v>0</v>
      </c>
      <c r="O31" s="24"/>
    </row>
    <row r="32" spans="1:15" x14ac:dyDescent="0.15">
      <c r="A32" s="87" t="str">
        <f>[3]Apr!$Y$2</f>
        <v>Advertising</v>
      </c>
      <c r="B32" s="62">
        <f t="shared" si="4"/>
        <v>0</v>
      </c>
      <c r="C32" s="75">
        <f>[3]Apr!$Y$1</f>
        <v>0</v>
      </c>
      <c r="D32" s="75">
        <f>[3]May!$Y$1</f>
        <v>0</v>
      </c>
      <c r="E32" s="75">
        <f>[3]Jun!$Y$1</f>
        <v>0</v>
      </c>
      <c r="F32" s="75">
        <f>[3]Jul!$Y$1</f>
        <v>0</v>
      </c>
      <c r="G32" s="75">
        <f>[3]Aug!$Y$1</f>
        <v>0</v>
      </c>
      <c r="H32" s="75">
        <f>[3]Sep!$Y$1</f>
        <v>0</v>
      </c>
      <c r="I32" s="75">
        <f>[3]Oct!$Y$1</f>
        <v>0</v>
      </c>
      <c r="J32" s="75">
        <f>[3]Nov!$Y$1</f>
        <v>0</v>
      </c>
      <c r="K32" s="75">
        <f>[3]Dec!$Y$1</f>
        <v>0</v>
      </c>
      <c r="L32" s="75">
        <f>[3]Jan!$Y$1</f>
        <v>0</v>
      </c>
      <c r="M32" s="75">
        <f>[3]Feb!$Y$1</f>
        <v>0</v>
      </c>
      <c r="N32" s="75">
        <f>[3]Mar!$Y$1</f>
        <v>0</v>
      </c>
      <c r="O32" s="24"/>
    </row>
    <row r="33" spans="1:15" x14ac:dyDescent="0.15">
      <c r="A33" s="87" t="str">
        <f>[3]Apr!$Z$2</f>
        <v>Accountancy and Legal Costs</v>
      </c>
      <c r="B33" s="62">
        <f t="shared" si="4"/>
        <v>0</v>
      </c>
      <c r="C33" s="75">
        <f>[3]Apr!$Z$1</f>
        <v>0</v>
      </c>
      <c r="D33" s="75">
        <f>[3]May!$Z$1</f>
        <v>0</v>
      </c>
      <c r="E33" s="75">
        <f>[3]Jun!$Z$1</f>
        <v>0</v>
      </c>
      <c r="F33" s="75">
        <f>[3]Jul!$Z$1</f>
        <v>0</v>
      </c>
      <c r="G33" s="75">
        <f>[3]Aug!$Z$1</f>
        <v>0</v>
      </c>
      <c r="H33" s="75">
        <f>[3]Sep!$Z$1</f>
        <v>0</v>
      </c>
      <c r="I33" s="75">
        <f>[3]Oct!$Z$1</f>
        <v>0</v>
      </c>
      <c r="J33" s="75">
        <f>[3]Nov!$Z$1</f>
        <v>0</v>
      </c>
      <c r="K33" s="75">
        <f>[3]Dec!$Z$1</f>
        <v>0</v>
      </c>
      <c r="L33" s="75">
        <f>[3]Jan!$Z$1</f>
        <v>0</v>
      </c>
      <c r="M33" s="75">
        <f>[3]Feb!$Z$1</f>
        <v>0</v>
      </c>
      <c r="N33" s="75">
        <f>[3]Mar!$Z$1</f>
        <v>0</v>
      </c>
      <c r="O33" s="24"/>
    </row>
    <row r="34" spans="1:15" x14ac:dyDescent="0.15">
      <c r="A34" s="87" t="s">
        <v>59</v>
      </c>
      <c r="B34" s="62">
        <f t="shared" si="4"/>
        <v>0</v>
      </c>
      <c r="C34" s="75">
        <f>-[2]Apr!$Z$1</f>
        <v>0</v>
      </c>
      <c r="D34" s="75">
        <f>-[2]May!$Z$1</f>
        <v>0</v>
      </c>
      <c r="E34" s="75">
        <f>-[2]Jun!$Z$1</f>
        <v>0</v>
      </c>
      <c r="F34" s="75">
        <f>-[2]Jul!$Z$1</f>
        <v>0</v>
      </c>
      <c r="G34" s="75">
        <f>-[2]Aug!$Z$1</f>
        <v>0</v>
      </c>
      <c r="H34" s="75">
        <f>-[2]Sep!$Z$1</f>
        <v>0</v>
      </c>
      <c r="I34" s="75">
        <f>-[2]Oct!$Z$1</f>
        <v>0</v>
      </c>
      <c r="J34" s="75">
        <f>-[2]Nov!$Z$1</f>
        <v>0</v>
      </c>
      <c r="K34" s="75">
        <f>-[2]Dec!$Z$1</f>
        <v>0</v>
      </c>
      <c r="L34" s="75">
        <f>-[2]Jan!$Z$1</f>
        <v>0</v>
      </c>
      <c r="M34" s="75">
        <f>-[2]Feb!$Z$1</f>
        <v>0</v>
      </c>
      <c r="N34" s="75">
        <f>-[2]Mar!$Z$1</f>
        <v>0</v>
      </c>
      <c r="O34" s="24"/>
    </row>
    <row r="35" spans="1:15" x14ac:dyDescent="0.15">
      <c r="A35" s="87" t="s">
        <v>60</v>
      </c>
      <c r="B35" s="62">
        <f t="shared" si="4"/>
        <v>0</v>
      </c>
      <c r="C35" s="75">
        <f>[4]Apr!$Z$1</f>
        <v>0</v>
      </c>
      <c r="D35" s="75">
        <f>[4]May!$Z$1</f>
        <v>0</v>
      </c>
      <c r="E35" s="75">
        <f>[4]Jun!$Z$1</f>
        <v>0</v>
      </c>
      <c r="F35" s="75">
        <f>[4]Jul!$Z$1</f>
        <v>0</v>
      </c>
      <c r="G35" s="75">
        <f>[4]Aug!$Z$1</f>
        <v>0</v>
      </c>
      <c r="H35" s="75">
        <f>[4]Sep!$Z$1</f>
        <v>0</v>
      </c>
      <c r="I35" s="75">
        <f>[4]Oct!$Z$1</f>
        <v>0</v>
      </c>
      <c r="J35" s="75">
        <f>[4]Nov!$Z$1</f>
        <v>0</v>
      </c>
      <c r="K35" s="75">
        <f>[4]Dec!$Z$1</f>
        <v>0</v>
      </c>
      <c r="L35" s="75">
        <f>[4]Jan!$Z$1</f>
        <v>0</v>
      </c>
      <c r="M35" s="75">
        <f>[4]Feb!$Z$1</f>
        <v>0</v>
      </c>
      <c r="N35" s="75">
        <f>[4]Mar!$Z$1</f>
        <v>0</v>
      </c>
      <c r="O35" s="24"/>
    </row>
    <row r="36" spans="1:15" x14ac:dyDescent="0.15">
      <c r="A36" s="87" t="s">
        <v>64</v>
      </c>
      <c r="B36" s="62">
        <f t="shared" si="4"/>
        <v>0</v>
      </c>
      <c r="C36" s="75">
        <f>[5]Apr!$V$1+[4]Apr!$Y$1</f>
        <v>0</v>
      </c>
      <c r="D36" s="75">
        <f>[5]May!$V$1+[4]May!$Y$1</f>
        <v>0</v>
      </c>
      <c r="E36" s="75">
        <f>[5]Jun!$V$1+[4]Jun!$Y$1</f>
        <v>0</v>
      </c>
      <c r="F36" s="75">
        <f>[5]Jul!$V$1+[4]Jul!$Y$1</f>
        <v>0</v>
      </c>
      <c r="G36" s="75">
        <f>[5]Aug!$V$1+[4]Aug!$Y$1</f>
        <v>0</v>
      </c>
      <c r="H36" s="75">
        <f>[5]Sep!$V$1+[4]Sep!$Y$1</f>
        <v>0</v>
      </c>
      <c r="I36" s="75">
        <f>[5]Oct!$V$1+[4]Oct!$Y$1</f>
        <v>0</v>
      </c>
      <c r="J36" s="75">
        <f>[5]Nov!$V$1+[4]Nov!$Y$1</f>
        <v>0</v>
      </c>
      <c r="K36" s="75">
        <f>[5]Dec!$V$1+[4]Dec!$Y$1</f>
        <v>0</v>
      </c>
      <c r="L36" s="75">
        <f>[5]Jan!$V$1+[4]Jan!$Y$1</f>
        <v>0</v>
      </c>
      <c r="M36" s="75">
        <f>[5]Feb!$V$1+[4]Feb!$Y$1</f>
        <v>0</v>
      </c>
      <c r="N36" s="75">
        <f>[5]Mar!$V$1+[4]Mar!$Y$1</f>
        <v>0</v>
      </c>
      <c r="O36" s="24"/>
    </row>
    <row r="37" spans="1:15" x14ac:dyDescent="0.15">
      <c r="A37" s="87" t="str">
        <f>[3]Apr!$AA$2</f>
        <v>Research and Reference Costs</v>
      </c>
      <c r="B37" s="62">
        <f t="shared" si="4"/>
        <v>0</v>
      </c>
      <c r="C37" s="75">
        <f>[3]Apr!$AA$1</f>
        <v>0</v>
      </c>
      <c r="D37" s="75">
        <f>[3]May!$AA$1</f>
        <v>0</v>
      </c>
      <c r="E37" s="75">
        <f>[3]Jun!$AA$1</f>
        <v>0</v>
      </c>
      <c r="F37" s="75">
        <f>[3]Jul!$AA$1</f>
        <v>0</v>
      </c>
      <c r="G37" s="75">
        <f>[3]Aug!$AA$1</f>
        <v>0</v>
      </c>
      <c r="H37" s="75">
        <f>[3]Sep!$AA$1</f>
        <v>0</v>
      </c>
      <c r="I37" s="75">
        <f>[3]Oct!$AA$1</f>
        <v>0</v>
      </c>
      <c r="J37" s="75">
        <f>[3]Nov!$AA$1</f>
        <v>0</v>
      </c>
      <c r="K37" s="75">
        <f>[3]Dec!$AA$1</f>
        <v>0</v>
      </c>
      <c r="L37" s="75">
        <f>[3]Jan!$AA$1</f>
        <v>0</v>
      </c>
      <c r="M37" s="75">
        <f>[3]Feb!$AA$1</f>
        <v>0</v>
      </c>
      <c r="N37" s="75">
        <f>[3]Mar!$AA$1</f>
        <v>0</v>
      </c>
      <c r="O37" s="24"/>
    </row>
    <row r="38" spans="1:15" x14ac:dyDescent="0.15">
      <c r="A38" s="87" t="str">
        <f>[3]Apr!$AB$2</f>
        <v xml:space="preserve">Telephone Broadband and Media </v>
      </c>
      <c r="B38" s="62">
        <f t="shared" si="4"/>
        <v>0</v>
      </c>
      <c r="C38" s="75">
        <f>[3]Apr!$AB$1</f>
        <v>0</v>
      </c>
      <c r="D38" s="75">
        <f>[3]May!$AB$1</f>
        <v>0</v>
      </c>
      <c r="E38" s="75">
        <f>[3]Jun!$AB$1</f>
        <v>0</v>
      </c>
      <c r="F38" s="75">
        <f>[3]Jul!$AB$1</f>
        <v>0</v>
      </c>
      <c r="G38" s="75">
        <f>[3]Aug!$AB$1</f>
        <v>0</v>
      </c>
      <c r="H38" s="75">
        <f>[3]Sep!$AB$1</f>
        <v>0</v>
      </c>
      <c r="I38" s="75">
        <f>[3]Oct!$AB$1</f>
        <v>0</v>
      </c>
      <c r="J38" s="75">
        <f>[3]Nov!$AB$1</f>
        <v>0</v>
      </c>
      <c r="K38" s="75">
        <f>[3]Dec!$AB$1</f>
        <v>0</v>
      </c>
      <c r="L38" s="75">
        <f>[3]Jan!$AB$1</f>
        <v>0</v>
      </c>
      <c r="M38" s="75">
        <f>[3]Feb!$AB$1</f>
        <v>0</v>
      </c>
      <c r="N38" s="75">
        <f>[3]Mar!$AB$1</f>
        <v>0</v>
      </c>
      <c r="O38" s="24"/>
    </row>
    <row r="39" spans="1:15" x14ac:dyDescent="0.15">
      <c r="A39" s="87" t="str">
        <f>[3]Apr!$AC$2</f>
        <v xml:space="preserve">Computer Consumables </v>
      </c>
      <c r="B39" s="62">
        <f t="shared" si="4"/>
        <v>0</v>
      </c>
      <c r="C39" s="75">
        <f>[3]Apr!$AC$1</f>
        <v>0</v>
      </c>
      <c r="D39" s="75">
        <f>[3]May!$AC$1</f>
        <v>0</v>
      </c>
      <c r="E39" s="75">
        <f>[3]Jun!$AC$1</f>
        <v>0</v>
      </c>
      <c r="F39" s="75">
        <f>[3]Jul!$AC$1</f>
        <v>0</v>
      </c>
      <c r="G39" s="75">
        <f>[3]Aug!$AC$1</f>
        <v>0</v>
      </c>
      <c r="H39" s="75">
        <f>[3]Sep!$AC$1</f>
        <v>0</v>
      </c>
      <c r="I39" s="75">
        <f>[3]Oct!$AC$1</f>
        <v>0</v>
      </c>
      <c r="J39" s="75">
        <f>[3]Nov!$AC$1</f>
        <v>0</v>
      </c>
      <c r="K39" s="75">
        <f>[3]Dec!$AC$1</f>
        <v>0</v>
      </c>
      <c r="L39" s="75">
        <f>[3]Jan!$AC$1</f>
        <v>0</v>
      </c>
      <c r="M39" s="75">
        <f>[3]Feb!$AC$1</f>
        <v>0</v>
      </c>
      <c r="N39" s="75">
        <f>[3]Mar!$AC$1</f>
        <v>0</v>
      </c>
      <c r="O39" s="24"/>
    </row>
    <row r="40" spans="1:15" x14ac:dyDescent="0.15">
      <c r="A40" s="87" t="str">
        <f>[3]Apr!$AD$2</f>
        <v xml:space="preserve">Subscriptions </v>
      </c>
      <c r="B40" s="62">
        <f t="shared" si="4"/>
        <v>0</v>
      </c>
      <c r="C40" s="75">
        <f>[3]Apr!$AD$1</f>
        <v>0</v>
      </c>
      <c r="D40" s="75">
        <f>[3]May!$AD$1</f>
        <v>0</v>
      </c>
      <c r="E40" s="75">
        <f>[3]Jun!$AD$1</f>
        <v>0</v>
      </c>
      <c r="F40" s="75">
        <f>[3]Jul!$AD$1</f>
        <v>0</v>
      </c>
      <c r="G40" s="75">
        <f>[3]Aug!$AD$1</f>
        <v>0</v>
      </c>
      <c r="H40" s="75">
        <f>[3]Sep!$AD$1</f>
        <v>0</v>
      </c>
      <c r="I40" s="75">
        <f>[3]Oct!$AD$1</f>
        <v>0</v>
      </c>
      <c r="J40" s="75">
        <f>[3]Nov!$AD$1</f>
        <v>0</v>
      </c>
      <c r="K40" s="75">
        <f>[3]Dec!$AD$1</f>
        <v>0</v>
      </c>
      <c r="L40" s="75">
        <f>[3]Jan!$AD$1</f>
        <v>0</v>
      </c>
      <c r="M40" s="75">
        <f>[3]Feb!$AD$1</f>
        <v>0</v>
      </c>
      <c r="N40" s="75">
        <f>[3]Mar!$AD$1</f>
        <v>0</v>
      </c>
      <c r="O40" s="24"/>
    </row>
    <row r="41" spans="1:15" x14ac:dyDescent="0.15">
      <c r="A41" s="87" t="str">
        <f>[3]Apr!$AE$2</f>
        <v xml:space="preserve">Sundry Expenses </v>
      </c>
      <c r="B41" s="62">
        <f t="shared" si="4"/>
        <v>0</v>
      </c>
      <c r="C41" s="75">
        <f>[3]Apr!$AE$1</f>
        <v>0</v>
      </c>
      <c r="D41" s="75">
        <f>[3]May!$AE$1</f>
        <v>0</v>
      </c>
      <c r="E41" s="75">
        <f>[3]Jun!$AE$1</f>
        <v>0</v>
      </c>
      <c r="F41" s="75">
        <f>[3]Jul!$AE$1</f>
        <v>0</v>
      </c>
      <c r="G41" s="75">
        <f>[3]Aug!$AE$1</f>
        <v>0</v>
      </c>
      <c r="H41" s="75">
        <f>[3]Sep!$AE$1</f>
        <v>0</v>
      </c>
      <c r="I41" s="75">
        <f>[3]Oct!$AE$1</f>
        <v>0</v>
      </c>
      <c r="J41" s="75">
        <f>[3]Nov!$AE$1</f>
        <v>0</v>
      </c>
      <c r="K41" s="75">
        <f>[3]Dec!$AE$1</f>
        <v>0</v>
      </c>
      <c r="L41" s="75">
        <f>[3]Jan!$AE$1</f>
        <v>0</v>
      </c>
      <c r="M41" s="75">
        <f>[3]Feb!$AE$1</f>
        <v>0</v>
      </c>
      <c r="N41" s="75">
        <f>[3]Mar!$AE$1</f>
        <v>0</v>
      </c>
      <c r="O41" s="24"/>
    </row>
    <row r="42" spans="1:15" x14ac:dyDescent="0.15">
      <c r="A42" s="87" t="str">
        <f>[3]Apr!$AF$2</f>
        <v>Other Expenses</v>
      </c>
      <c r="B42" s="62">
        <f t="shared" si="4"/>
        <v>0</v>
      </c>
      <c r="C42" s="75">
        <f>[3]Apr!$AF$1</f>
        <v>0</v>
      </c>
      <c r="D42" s="75">
        <f>[3]May!$AF$1</f>
        <v>0</v>
      </c>
      <c r="E42" s="75">
        <f>[3]Jun!$AF$1</f>
        <v>0</v>
      </c>
      <c r="F42" s="75">
        <f>[3]Jul!$AF$1</f>
        <v>0</v>
      </c>
      <c r="G42" s="75">
        <f>[3]Aug!$AF$1</f>
        <v>0</v>
      </c>
      <c r="H42" s="75">
        <f>[3]Sep!$AF$1</f>
        <v>0</v>
      </c>
      <c r="I42" s="75">
        <f>[3]Oct!$AF$1</f>
        <v>0</v>
      </c>
      <c r="J42" s="75">
        <f>[3]Nov!$AF$1</f>
        <v>0</v>
      </c>
      <c r="K42" s="75">
        <f>[3]Dec!$AF$1</f>
        <v>0</v>
      </c>
      <c r="L42" s="75">
        <f>[3]Jan!$AF$1</f>
        <v>0</v>
      </c>
      <c r="M42" s="75">
        <f>[3]Feb!$AF$1</f>
        <v>0</v>
      </c>
      <c r="N42" s="75">
        <f>[3]Mar!$AF$1</f>
        <v>0</v>
      </c>
      <c r="O42" s="24"/>
    </row>
    <row r="43" spans="1:15" x14ac:dyDescent="0.15">
      <c r="A43" s="81" t="s">
        <v>70</v>
      </c>
      <c r="B43" s="62">
        <f t="shared" si="4"/>
        <v>0</v>
      </c>
      <c r="C43" s="75">
        <f>-([1]Schedule!$V$1-[1]Schedule!$W$1+[1]Schedule!$X$1)/12</f>
        <v>0</v>
      </c>
      <c r="D43" s="75">
        <f>-([1]Schedule!$V$1-[1]Schedule!$W$1+[1]Schedule!$X$1)/12</f>
        <v>0</v>
      </c>
      <c r="E43" s="75">
        <f>-([1]Schedule!$V$1-[1]Schedule!$W$1+[1]Schedule!$X$1)/12</f>
        <v>0</v>
      </c>
      <c r="F43" s="75">
        <f>-([1]Schedule!$V$1-[1]Schedule!$W$1+[1]Schedule!$X$1)/12</f>
        <v>0</v>
      </c>
      <c r="G43" s="75">
        <f>-([1]Schedule!$V$1-[1]Schedule!$W$1+[1]Schedule!$X$1)/12</f>
        <v>0</v>
      </c>
      <c r="H43" s="75">
        <f>-([1]Schedule!$V$1-[1]Schedule!$W$1+[1]Schedule!$X$1)/12</f>
        <v>0</v>
      </c>
      <c r="I43" s="75">
        <f>-([1]Schedule!$V$1-[1]Schedule!$W$1+[1]Schedule!$X$1)/12</f>
        <v>0</v>
      </c>
      <c r="J43" s="75">
        <f>-([1]Schedule!$V$1-[1]Schedule!$W$1+[1]Schedule!$X$1)/12</f>
        <v>0</v>
      </c>
      <c r="K43" s="75">
        <f>-([1]Schedule!$V$1-[1]Schedule!$W$1+[1]Schedule!$X$1)/12</f>
        <v>0</v>
      </c>
      <c r="L43" s="75">
        <f>-([1]Schedule!$V$1-[1]Schedule!$W$1+[1]Schedule!$X$1)/12</f>
        <v>0</v>
      </c>
      <c r="M43" s="75">
        <f>-([1]Schedule!$V$1-[1]Schedule!$W$1+[1]Schedule!$X$1)/12</f>
        <v>0</v>
      </c>
      <c r="N43" s="75">
        <f>-([1]Schedule!$V$1-[1]Schedule!$W$1+[1]Schedule!$X$1)/12</f>
        <v>0</v>
      </c>
      <c r="O43" s="24"/>
    </row>
    <row r="44" spans="1:15" x14ac:dyDescent="0.15">
      <c r="A44" s="81" t="s">
        <v>0</v>
      </c>
      <c r="B44" s="62">
        <f t="shared" si="4"/>
        <v>0</v>
      </c>
      <c r="C44" s="75">
        <f>([1]Schedule!$I$1)/12</f>
        <v>0</v>
      </c>
      <c r="D44" s="75">
        <f>([1]Schedule!$I$1)/12</f>
        <v>0</v>
      </c>
      <c r="E44" s="75">
        <f>([1]Schedule!$I$1)/12</f>
        <v>0</v>
      </c>
      <c r="F44" s="75">
        <f>([1]Schedule!$I$1)/12</f>
        <v>0</v>
      </c>
      <c r="G44" s="75">
        <f>([1]Schedule!$I$1)/12</f>
        <v>0</v>
      </c>
      <c r="H44" s="75">
        <f>([1]Schedule!$I$1)/12</f>
        <v>0</v>
      </c>
      <c r="I44" s="75">
        <f>([1]Schedule!$I$1)/12</f>
        <v>0</v>
      </c>
      <c r="J44" s="75">
        <f>([1]Schedule!$I$1)/12</f>
        <v>0</v>
      </c>
      <c r="K44" s="75">
        <f>([1]Schedule!$I$1)/12</f>
        <v>0</v>
      </c>
      <c r="L44" s="75">
        <f>([1]Schedule!$I$1)/12</f>
        <v>0</v>
      </c>
      <c r="M44" s="75">
        <f>([1]Schedule!$I$1)/12</f>
        <v>0</v>
      </c>
      <c r="N44" s="75">
        <f>([1]Schedule!$I$1)/12</f>
        <v>0</v>
      </c>
      <c r="O44" s="24"/>
    </row>
    <row r="45" spans="1:15" x14ac:dyDescent="0.15">
      <c r="A45" s="82" t="s">
        <v>57</v>
      </c>
      <c r="B45" s="62">
        <f t="shared" ref="B45:N45" si="5">SUM(B26:B44)</f>
        <v>0</v>
      </c>
      <c r="C45" s="62">
        <f t="shared" si="5"/>
        <v>0</v>
      </c>
      <c r="D45" s="62">
        <f t="shared" si="5"/>
        <v>0</v>
      </c>
      <c r="E45" s="62">
        <f t="shared" si="5"/>
        <v>0</v>
      </c>
      <c r="F45" s="62">
        <f t="shared" si="5"/>
        <v>0</v>
      </c>
      <c r="G45" s="62">
        <f t="shared" si="5"/>
        <v>0</v>
      </c>
      <c r="H45" s="62">
        <f t="shared" si="5"/>
        <v>0</v>
      </c>
      <c r="I45" s="62">
        <f t="shared" si="5"/>
        <v>0</v>
      </c>
      <c r="J45" s="62">
        <f t="shared" si="5"/>
        <v>0</v>
      </c>
      <c r="K45" s="62">
        <f t="shared" si="5"/>
        <v>0</v>
      </c>
      <c r="L45" s="62">
        <f t="shared" si="5"/>
        <v>0</v>
      </c>
      <c r="M45" s="62">
        <f t="shared" si="5"/>
        <v>0</v>
      </c>
      <c r="N45" s="62">
        <f t="shared" si="5"/>
        <v>0</v>
      </c>
      <c r="O45" s="24"/>
    </row>
    <row r="46" spans="1:15" ht="7.5" customHeight="1" x14ac:dyDescent="0.15">
      <c r="A46" s="88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24"/>
    </row>
    <row r="47" spans="1:15" x14ac:dyDescent="0.15">
      <c r="A47" s="82" t="s">
        <v>61</v>
      </c>
      <c r="B47" s="62">
        <f t="shared" ref="B47:N47" si="6">B24-B45</f>
        <v>0</v>
      </c>
      <c r="C47" s="62">
        <f t="shared" si="6"/>
        <v>0</v>
      </c>
      <c r="D47" s="62">
        <f t="shared" si="6"/>
        <v>0</v>
      </c>
      <c r="E47" s="62">
        <f t="shared" si="6"/>
        <v>0</v>
      </c>
      <c r="F47" s="62">
        <f t="shared" si="6"/>
        <v>0</v>
      </c>
      <c r="G47" s="62">
        <f t="shared" si="6"/>
        <v>0</v>
      </c>
      <c r="H47" s="62">
        <f t="shared" si="6"/>
        <v>0</v>
      </c>
      <c r="I47" s="62">
        <f t="shared" si="6"/>
        <v>0</v>
      </c>
      <c r="J47" s="62">
        <f t="shared" si="6"/>
        <v>0</v>
      </c>
      <c r="K47" s="62">
        <f t="shared" si="6"/>
        <v>0</v>
      </c>
      <c r="L47" s="62">
        <f t="shared" si="6"/>
        <v>0</v>
      </c>
      <c r="M47" s="62">
        <f t="shared" si="6"/>
        <v>0</v>
      </c>
      <c r="N47" s="62">
        <f t="shared" si="6"/>
        <v>0</v>
      </c>
      <c r="O47" s="24"/>
    </row>
    <row r="48" spans="1:15" x14ac:dyDescent="0.15">
      <c r="A48" s="81" t="s">
        <v>62</v>
      </c>
      <c r="B48" s="62">
        <f>SUM(C48:N48)</f>
        <v>0</v>
      </c>
      <c r="C48" s="75">
        <f>[4]Apr!$J$1</f>
        <v>0</v>
      </c>
      <c r="D48" s="75">
        <f>[4]May!$J$1</f>
        <v>0</v>
      </c>
      <c r="E48" s="75">
        <f>[4]Jun!$J$1</f>
        <v>0</v>
      </c>
      <c r="F48" s="75">
        <f>[4]Jul!$J$1</f>
        <v>0</v>
      </c>
      <c r="G48" s="75">
        <f>[4]Aug!$J$1</f>
        <v>0</v>
      </c>
      <c r="H48" s="75">
        <f>[4]Sep!$J$1</f>
        <v>0</v>
      </c>
      <c r="I48" s="75">
        <f>[4]Oct!$J$1</f>
        <v>0</v>
      </c>
      <c r="J48" s="75">
        <f>[4]Nov!$J$1</f>
        <v>0</v>
      </c>
      <c r="K48" s="75">
        <f>[4]Dec!$J$1</f>
        <v>0</v>
      </c>
      <c r="L48" s="75">
        <f>[4]Jan!$J$1</f>
        <v>0</v>
      </c>
      <c r="M48" s="75">
        <f>[4]Feb!$J$1</f>
        <v>0</v>
      </c>
      <c r="N48" s="75">
        <f>[4]Mar!$J$1</f>
        <v>0</v>
      </c>
      <c r="O48" s="24"/>
    </row>
    <row r="49" spans="1:15" x14ac:dyDescent="0.15">
      <c r="A49" s="82" t="s">
        <v>63</v>
      </c>
      <c r="B49" s="62">
        <f t="shared" ref="B49:N49" si="7">B47+B48</f>
        <v>0</v>
      </c>
      <c r="C49" s="62">
        <f t="shared" si="7"/>
        <v>0</v>
      </c>
      <c r="D49" s="62">
        <f t="shared" si="7"/>
        <v>0</v>
      </c>
      <c r="E49" s="62">
        <f t="shared" si="7"/>
        <v>0</v>
      </c>
      <c r="F49" s="62">
        <f t="shared" si="7"/>
        <v>0</v>
      </c>
      <c r="G49" s="62">
        <f t="shared" si="7"/>
        <v>0</v>
      </c>
      <c r="H49" s="62">
        <f t="shared" si="7"/>
        <v>0</v>
      </c>
      <c r="I49" s="62">
        <f t="shared" si="7"/>
        <v>0</v>
      </c>
      <c r="J49" s="62">
        <f t="shared" si="7"/>
        <v>0</v>
      </c>
      <c r="K49" s="62">
        <f t="shared" si="7"/>
        <v>0</v>
      </c>
      <c r="L49" s="62">
        <f t="shared" si="7"/>
        <v>0</v>
      </c>
      <c r="M49" s="62">
        <f t="shared" si="7"/>
        <v>0</v>
      </c>
      <c r="N49" s="62">
        <f t="shared" si="7"/>
        <v>0</v>
      </c>
      <c r="O49" s="24"/>
    </row>
    <row r="50" spans="1:15" ht="7.5" customHeight="1" thickBot="1" x14ac:dyDescent="0.2">
      <c r="A50" s="89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29"/>
    </row>
    <row r="51" spans="1:15" x14ac:dyDescent="0.15">
      <c r="A51" s="93" t="s">
        <v>72</v>
      </c>
      <c r="B51" s="9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</row>
    <row r="52" spans="1:15" x14ac:dyDescent="0.15">
      <c r="A52" s="87" t="s">
        <v>65</v>
      </c>
      <c r="B52" s="54">
        <f>SUM(C52:N52)</f>
        <v>0</v>
      </c>
      <c r="C52" s="54">
        <f>[5]Apr!$X$1+[4]Apr!$AB$1</f>
        <v>0</v>
      </c>
      <c r="D52" s="54">
        <f>[5]May!$X$1+[4]May!$AB$1</f>
        <v>0</v>
      </c>
      <c r="E52" s="54">
        <f>[5]Jun!$X$1+[4]Jun!$AB$1</f>
        <v>0</v>
      </c>
      <c r="F52" s="54">
        <f>[5]Jul!$X$1+[4]Jul!$AB$1</f>
        <v>0</v>
      </c>
      <c r="G52" s="54">
        <f>[5]Aug!$X$1+[4]Aug!$AB$1</f>
        <v>0</v>
      </c>
      <c r="H52" s="54">
        <f>[5]Sep!$X$1+[4]Sep!$AB$1</f>
        <v>0</v>
      </c>
      <c r="I52" s="54">
        <f>[5]Oct!$X$1+[4]Oct!$AB$1</f>
        <v>0</v>
      </c>
      <c r="J52" s="54">
        <f>[5]Nov!$X$1+[4]Nov!$AB$1</f>
        <v>0</v>
      </c>
      <c r="K52" s="54">
        <f>[5]Dec!$X$1+[4]Dec!$AB$1</f>
        <v>0</v>
      </c>
      <c r="L52" s="54">
        <f>[5]Jan!$X$1+[4]Jan!$AB$1</f>
        <v>0</v>
      </c>
      <c r="M52" s="54">
        <f>[5]Feb!$X$1+[4]Feb!$AB$1</f>
        <v>0</v>
      </c>
      <c r="N52" s="54">
        <f>[5]Mar!$X$1+[4]Mar!$AB$1</f>
        <v>0</v>
      </c>
      <c r="O52" s="24"/>
    </row>
    <row r="53" spans="1:15" x14ac:dyDescent="0.15">
      <c r="A53" s="87" t="s">
        <v>86</v>
      </c>
      <c r="B53" s="54">
        <f>SUM(C53:N53)</f>
        <v>0</v>
      </c>
      <c r="C53" s="54">
        <f>-[2]Apr!$AB$1</f>
        <v>0</v>
      </c>
      <c r="D53" s="54">
        <f>-[2]May!$AB$1</f>
        <v>0</v>
      </c>
      <c r="E53" s="54">
        <f>-[2]Jun!$AB$1</f>
        <v>0</v>
      </c>
      <c r="F53" s="54">
        <f>-[2]Jul!$AB$1</f>
        <v>0</v>
      </c>
      <c r="G53" s="54">
        <f>-[2]Aug!$AB$1</f>
        <v>0</v>
      </c>
      <c r="H53" s="54">
        <f>-[2]Sep!$AB$1</f>
        <v>0</v>
      </c>
      <c r="I53" s="54">
        <f>-[2]Oct!$AB$1</f>
        <v>0</v>
      </c>
      <c r="J53" s="54">
        <f>-[2]Nov!$AB$1</f>
        <v>0</v>
      </c>
      <c r="K53" s="54">
        <f>-[2]Dec!$AB$1</f>
        <v>0</v>
      </c>
      <c r="L53" s="54">
        <f>-[2]Jan!$AB$1</f>
        <v>0</v>
      </c>
      <c r="M53" s="54">
        <f>-[2]Feb!$AB$1</f>
        <v>0</v>
      </c>
      <c r="N53" s="54">
        <f>-[2]Mar!$AB$1</f>
        <v>0</v>
      </c>
      <c r="O53" s="24"/>
    </row>
    <row r="54" spans="1:15" ht="13" thickBot="1" x14ac:dyDescent="0.2">
      <c r="A54" s="87" t="s">
        <v>71</v>
      </c>
      <c r="B54" s="54">
        <f>SUM(C54:N54)</f>
        <v>0</v>
      </c>
      <c r="C54" s="54">
        <f>IF(C14&gt;0,'Profit Forecast'!C$46/12,0)</f>
        <v>0</v>
      </c>
      <c r="D54" s="54">
        <f>IF(D14&gt;0,'Profit Forecast'!C$46/12,0)</f>
        <v>0</v>
      </c>
      <c r="E54" s="54">
        <f>IF(E14&gt;0,'Profit Forecast'!C$46/12,0)</f>
        <v>0</v>
      </c>
      <c r="F54" s="54">
        <f>IF(F14&gt;0,'Profit Forecast'!C$46/12,0)</f>
        <v>0</v>
      </c>
      <c r="G54" s="54">
        <f>IF(G14&gt;0,'Profit Forecast'!C$46/12,0)</f>
        <v>0</v>
      </c>
      <c r="H54" s="54">
        <f>IF(H14&gt;0,'Profit Forecast'!C$46/12,0)</f>
        <v>0</v>
      </c>
      <c r="I54" s="54">
        <f>IF(I14&gt;0,'Profit Forecast'!C$46/12,0)</f>
        <v>0</v>
      </c>
      <c r="J54" s="54">
        <f>IF(J14&gt;0,'Profit Forecast'!C$46/12,0)</f>
        <v>0</v>
      </c>
      <c r="K54" s="54">
        <f>IF(K14&gt;0,'Profit Forecast'!C$46/12,0)</f>
        <v>0</v>
      </c>
      <c r="L54" s="54">
        <f>IF(L14&gt;0,'Profit Forecast'!C$46/12,0)</f>
        <v>0</v>
      </c>
      <c r="M54" s="54">
        <f>IF(M14&gt;0,'Profit Forecast'!C$46/12,0)</f>
        <v>0</v>
      </c>
      <c r="N54" s="54">
        <f>IF(N14&gt;0,'Profit Forecast'!C$46/12,0)</f>
        <v>0</v>
      </c>
      <c r="O54" s="24"/>
    </row>
    <row r="55" spans="1:15" ht="13" thickBot="1" x14ac:dyDescent="0.2">
      <c r="A55" s="134" t="s">
        <v>85</v>
      </c>
      <c r="B55" s="133">
        <f>SUM(C55:N55)</f>
        <v>0</v>
      </c>
      <c r="C55" s="132">
        <f>C49-C52-C54</f>
        <v>0</v>
      </c>
      <c r="D55" s="60">
        <f t="shared" ref="D55:N55" si="8">D49-D52-D54</f>
        <v>0</v>
      </c>
      <c r="E55" s="60">
        <f t="shared" si="8"/>
        <v>0</v>
      </c>
      <c r="F55" s="60">
        <f t="shared" si="8"/>
        <v>0</v>
      </c>
      <c r="G55" s="60">
        <f t="shared" si="8"/>
        <v>0</v>
      </c>
      <c r="H55" s="60">
        <f t="shared" si="8"/>
        <v>0</v>
      </c>
      <c r="I55" s="60">
        <f t="shared" si="8"/>
        <v>0</v>
      </c>
      <c r="J55" s="60">
        <f t="shared" si="8"/>
        <v>0</v>
      </c>
      <c r="K55" s="60">
        <f t="shared" si="8"/>
        <v>0</v>
      </c>
      <c r="L55" s="60">
        <f t="shared" si="8"/>
        <v>0</v>
      </c>
      <c r="M55" s="60">
        <f t="shared" si="8"/>
        <v>0</v>
      </c>
      <c r="N55" s="60">
        <f t="shared" si="8"/>
        <v>0</v>
      </c>
      <c r="O55" s="24"/>
    </row>
    <row r="56" spans="1:15" x14ac:dyDescent="0.15">
      <c r="A56" s="87" t="s">
        <v>66</v>
      </c>
      <c r="B56" s="54">
        <f>SUM(C56:N56)</f>
        <v>0</v>
      </c>
      <c r="C56" s="54">
        <f>[5]Apr!$J$1+[4]Apr!$L$1</f>
        <v>0</v>
      </c>
      <c r="D56" s="54">
        <f>[5]May!$J$1+[4]May!$L$1</f>
        <v>0</v>
      </c>
      <c r="E56" s="54">
        <f>[5]Jun!$J$1+[4]Jun!$L$1</f>
        <v>0</v>
      </c>
      <c r="F56" s="54">
        <f>[5]Jul!$J$1+[4]Jul!$L$1</f>
        <v>0</v>
      </c>
      <c r="G56" s="54">
        <f>[5]Aug!$J$1+[4]Aug!$L$1</f>
        <v>0</v>
      </c>
      <c r="H56" s="54">
        <f>[5]Sep!$J$1+[4]Sep!$L$1</f>
        <v>0</v>
      </c>
      <c r="I56" s="54">
        <f>[5]Oct!$J$1+[4]Oct!$L$1</f>
        <v>0</v>
      </c>
      <c r="J56" s="54">
        <f>[5]Nov!$J$1+[4]Nov!$L$1</f>
        <v>0</v>
      </c>
      <c r="K56" s="54">
        <f>[5]Dec!$J$1+[4]Dec!$L$1</f>
        <v>0</v>
      </c>
      <c r="L56" s="54">
        <f>[5]Jan!$J$1+[4]Jan!$L$1</f>
        <v>0</v>
      </c>
      <c r="M56" s="54">
        <f>[5]Feb!$J$1+[4]Feb!$L$1</f>
        <v>0</v>
      </c>
      <c r="N56" s="54">
        <f>[5]Mar!$J$1+[4]Mar!$L$1</f>
        <v>0</v>
      </c>
      <c r="O56" s="24"/>
    </row>
    <row r="57" spans="1:15" ht="6" customHeight="1" thickBot="1" x14ac:dyDescent="0.2">
      <c r="A57" s="89"/>
      <c r="B57" s="92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>&amp;C&amp;"Arial,Bold"&amp;11Financial accounts for the period
6 April 2017 to 5 April 2018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workbookViewId="0">
      <selection activeCell="D2" sqref="D2:F3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116</v>
      </c>
      <c r="C2" s="143" t="str">
        <f>Admin!L2</f>
        <v>2024-25</v>
      </c>
      <c r="D2" s="392" t="s">
        <v>16</v>
      </c>
      <c r="E2" s="393"/>
      <c r="F2" s="393"/>
      <c r="G2" s="120"/>
    </row>
    <row r="3" spans="1:13" ht="18.75" customHeight="1" x14ac:dyDescent="0.15">
      <c r="A3" s="96"/>
      <c r="B3" s="141"/>
      <c r="C3" s="141"/>
      <c r="D3" s="393"/>
      <c r="E3" s="393"/>
      <c r="F3" s="393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00" t="s">
        <v>87</v>
      </c>
      <c r="C5" s="401"/>
      <c r="D5" s="402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128</v>
      </c>
      <c r="C6" s="108" t="str">
        <f>C2</f>
        <v>2024-25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03" t="s">
        <v>88</v>
      </c>
      <c r="C7" s="403"/>
      <c r="D7" s="404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118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117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90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-[2]Mar!$AC$1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119</v>
      </c>
      <c r="C13" s="405">
        <f>Admin!B21</f>
        <v>46053</v>
      </c>
      <c r="D13" s="406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07" t="s">
        <v>127</v>
      </c>
      <c r="C15" s="408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07" t="s">
        <v>126</v>
      </c>
      <c r="C16" s="408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09" t="s">
        <v>89</v>
      </c>
      <c r="C18" s="408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394" t="s">
        <v>5</v>
      </c>
      <c r="E21" s="395"/>
      <c r="F21" s="396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397" t="s">
        <v>13</v>
      </c>
      <c r="E23" s="399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398"/>
      <c r="E24" s="398"/>
      <c r="F24" s="124"/>
      <c r="G24" s="120"/>
    </row>
    <row r="25" spans="1:13" x14ac:dyDescent="0.15">
      <c r="A25" s="96"/>
      <c r="B25" s="108" t="s">
        <v>120</v>
      </c>
      <c r="C25" s="153" t="str">
        <f>Admin!B24</f>
        <v>2025-26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46053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46234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125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67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10" t="s">
        <v>28</v>
      </c>
      <c r="C3" s="411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45412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12" t="s">
        <v>29</v>
      </c>
      <c r="L4" s="24"/>
    </row>
    <row r="5" spans="1:12" ht="12" customHeight="1" x14ac:dyDescent="0.15">
      <c r="A5" s="20"/>
      <c r="B5" s="21">
        <f>Admin!B6</f>
        <v>45443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13"/>
      <c r="L5" s="24"/>
    </row>
    <row r="6" spans="1:12" x14ac:dyDescent="0.15">
      <c r="A6" s="20"/>
      <c r="B6" s="21">
        <f>Admin!B7</f>
        <v>45473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13"/>
      <c r="L6" s="24"/>
    </row>
    <row r="7" spans="1:12" x14ac:dyDescent="0.15">
      <c r="A7" s="20"/>
      <c r="B7" s="21">
        <f>Admin!B8</f>
        <v>45504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13"/>
      <c r="L7" s="24"/>
    </row>
    <row r="8" spans="1:12" ht="12" customHeight="1" x14ac:dyDescent="0.15">
      <c r="A8" s="20"/>
      <c r="B8" s="21">
        <f>Admin!B9</f>
        <v>45535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12" t="s">
        <v>30</v>
      </c>
      <c r="L8" s="24"/>
    </row>
    <row r="9" spans="1:12" ht="12" customHeight="1" x14ac:dyDescent="0.15">
      <c r="A9" s="20"/>
      <c r="B9" s="21">
        <f>Admin!B10</f>
        <v>45565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13"/>
      <c r="L9" s="24"/>
    </row>
    <row r="10" spans="1:12" ht="12" customHeight="1" x14ac:dyDescent="0.15">
      <c r="A10" s="20"/>
      <c r="B10" s="21">
        <f>Admin!B11</f>
        <v>45596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13"/>
      <c r="L10" s="24"/>
    </row>
    <row r="11" spans="1:12" ht="12" customHeight="1" x14ac:dyDescent="0.15">
      <c r="A11" s="20"/>
      <c r="B11" s="21">
        <f>Admin!B12</f>
        <v>45626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13"/>
      <c r="L11" s="24"/>
    </row>
    <row r="12" spans="1:12" ht="12" customHeight="1" x14ac:dyDescent="0.15">
      <c r="A12" s="20"/>
      <c r="B12" s="21">
        <f>Admin!B13</f>
        <v>45657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12"/>
      <c r="L12" s="24"/>
    </row>
    <row r="13" spans="1:12" x14ac:dyDescent="0.15">
      <c r="A13" s="20"/>
      <c r="B13" s="21">
        <f>Admin!B14</f>
        <v>45688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13"/>
      <c r="L13" s="24"/>
    </row>
    <row r="14" spans="1:12" x14ac:dyDescent="0.15">
      <c r="A14" s="20"/>
      <c r="B14" s="21">
        <f>Admin!B15</f>
        <v>45716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13"/>
      <c r="L14" s="24"/>
    </row>
    <row r="15" spans="1:12" x14ac:dyDescent="0.15">
      <c r="A15" s="20"/>
      <c r="B15" s="21">
        <f>Admin!B16</f>
        <v>45747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B2" sqref="B2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1" t="s">
        <v>31</v>
      </c>
      <c r="I1" s="422"/>
      <c r="J1" s="422"/>
      <c r="K1" s="422"/>
      <c r="L1" s="423"/>
      <c r="M1" s="32"/>
      <c r="N1" s="421" t="s">
        <v>31</v>
      </c>
      <c r="O1" s="422"/>
      <c r="P1" s="422"/>
      <c r="Q1" s="422"/>
      <c r="R1" s="423"/>
      <c r="S1" s="32"/>
      <c r="T1" s="421" t="s">
        <v>31</v>
      </c>
      <c r="U1" s="422"/>
      <c r="V1" s="422"/>
      <c r="W1" s="422"/>
      <c r="X1" s="423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24" t="s">
        <v>44</v>
      </c>
      <c r="AE2" s="425"/>
      <c r="AF2" s="425"/>
      <c r="AG2" s="426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14" t="s">
        <v>393</v>
      </c>
      <c r="AE3" s="417"/>
      <c r="AF3" s="417"/>
      <c r="AG3" s="417"/>
      <c r="AH3" s="24"/>
    </row>
    <row r="4" spans="1:34" ht="13" x14ac:dyDescent="0.15">
      <c r="A4" s="20"/>
      <c r="B4" s="418" t="s">
        <v>45</v>
      </c>
      <c r="C4" s="419"/>
      <c r="D4" s="419"/>
      <c r="E4" s="420"/>
      <c r="F4" s="42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16"/>
      <c r="AE4" s="417"/>
      <c r="AF4" s="417"/>
      <c r="AG4" s="41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16"/>
      <c r="AE5" s="417"/>
      <c r="AF5" s="417"/>
      <c r="AG5" s="417"/>
      <c r="AH5" s="24"/>
    </row>
    <row r="6" spans="1:34" x14ac:dyDescent="0.15">
      <c r="A6" s="20"/>
      <c r="B6" s="58">
        <f>Admin!B4</f>
        <v>45388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16"/>
      <c r="AE6" s="417"/>
      <c r="AF6" s="417"/>
      <c r="AG6" s="41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16"/>
      <c r="AE7" s="417"/>
      <c r="AF7" s="417"/>
      <c r="AG7" s="417"/>
      <c r="AH7" s="24"/>
    </row>
    <row r="8" spans="1:34" x14ac:dyDescent="0.15">
      <c r="A8" s="20"/>
      <c r="B8" s="58">
        <f>Admin!B5</f>
        <v>45412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16"/>
      <c r="AE8" s="417"/>
      <c r="AF8" s="417"/>
      <c r="AG8" s="41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16"/>
      <c r="AE9" s="417"/>
      <c r="AF9" s="417"/>
      <c r="AG9" s="417"/>
      <c r="AH9" s="24"/>
    </row>
    <row r="10" spans="1:34" ht="13" x14ac:dyDescent="0.15">
      <c r="A10" s="20"/>
      <c r="B10" s="58">
        <f>Admin!B6</f>
        <v>45443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14" t="s">
        <v>46</v>
      </c>
      <c r="AE11" s="417"/>
      <c r="AF11" s="417"/>
      <c r="AG11" s="417"/>
      <c r="AH11" s="24"/>
    </row>
    <row r="12" spans="1:34" x14ac:dyDescent="0.15">
      <c r="A12" s="20"/>
      <c r="B12" s="58">
        <f>Admin!B7</f>
        <v>45473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16"/>
      <c r="AE12" s="417"/>
      <c r="AF12" s="417"/>
      <c r="AG12" s="41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16"/>
      <c r="AE13" s="417"/>
      <c r="AF13" s="417"/>
      <c r="AG13" s="417"/>
      <c r="AH13" s="24"/>
    </row>
    <row r="14" spans="1:34" ht="12" customHeight="1" x14ac:dyDescent="0.15">
      <c r="A14" s="20"/>
      <c r="B14" s="58">
        <f>Admin!B8</f>
        <v>45504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14" t="s">
        <v>394</v>
      </c>
      <c r="AE15" s="415"/>
      <c r="AF15" s="415"/>
      <c r="AG15" s="415"/>
      <c r="AH15" s="24"/>
    </row>
    <row r="16" spans="1:34" ht="12" customHeight="1" x14ac:dyDescent="0.15">
      <c r="A16" s="20"/>
      <c r="B16" s="58">
        <f>Admin!B9</f>
        <v>45535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14"/>
      <c r="AE16" s="415"/>
      <c r="AF16" s="415"/>
      <c r="AG16" s="41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14"/>
      <c r="AE17" s="415"/>
      <c r="AF17" s="415"/>
      <c r="AG17" s="415"/>
      <c r="AH17" s="24"/>
    </row>
    <row r="18" spans="1:34" ht="12" customHeight="1" x14ac:dyDescent="0.15">
      <c r="A18" s="20"/>
      <c r="B18" s="58">
        <f>Admin!B10</f>
        <v>45565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14" t="s">
        <v>47</v>
      </c>
      <c r="AE19" s="415"/>
      <c r="AF19" s="415"/>
      <c r="AG19" s="415"/>
      <c r="AH19" s="24"/>
    </row>
    <row r="20" spans="1:34" ht="12" customHeight="1" x14ac:dyDescent="0.15">
      <c r="A20" s="20"/>
      <c r="B20" s="58">
        <f>Admin!B11</f>
        <v>45596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14"/>
      <c r="AE20" s="415"/>
      <c r="AF20" s="415"/>
      <c r="AG20" s="41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14"/>
      <c r="AE21" s="415"/>
      <c r="AF21" s="415"/>
      <c r="AG21" s="415"/>
      <c r="AH21" s="24"/>
    </row>
    <row r="22" spans="1:34" ht="12" customHeight="1" x14ac:dyDescent="0.15">
      <c r="A22" s="20"/>
      <c r="B22" s="58">
        <f>Admin!B12</f>
        <v>45626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14" t="s">
        <v>48</v>
      </c>
      <c r="AE23" s="415"/>
      <c r="AF23" s="415"/>
      <c r="AG23" s="415"/>
      <c r="AH23" s="24"/>
    </row>
    <row r="24" spans="1:34" x14ac:dyDescent="0.15">
      <c r="A24" s="20"/>
      <c r="B24" s="58">
        <f>Admin!B13</f>
        <v>45657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14"/>
      <c r="AE24" s="415"/>
      <c r="AF24" s="415"/>
      <c r="AG24" s="41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14"/>
      <c r="AE25" s="415"/>
      <c r="AF25" s="415"/>
      <c r="AG25" s="415"/>
      <c r="AH25" s="24"/>
    </row>
    <row r="26" spans="1:34" x14ac:dyDescent="0.15">
      <c r="A26" s="20"/>
      <c r="B26" s="58">
        <f>Admin!B14</f>
        <v>45688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16"/>
      <c r="AE26" s="417"/>
      <c r="AF26" s="417"/>
      <c r="AG26" s="41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45716</v>
      </c>
      <c r="C28" s="59"/>
      <c r="D28" s="60">
        <f>D26+F28-L28-R28-X28+Z26</f>
        <v>0</v>
      </c>
      <c r="E28" s="54"/>
      <c r="F28" s="54">
        <f>IF((H$4+N$4+T$4)=0,0,[3]Feb!$P$1)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14" t="s">
        <v>49</v>
      </c>
      <c r="AE28" s="415"/>
      <c r="AF28" s="415"/>
      <c r="AG28" s="41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14"/>
      <c r="AE29" s="415"/>
      <c r="AF29" s="415"/>
      <c r="AG29" s="415"/>
      <c r="AH29" s="24"/>
    </row>
    <row r="30" spans="1:34" x14ac:dyDescent="0.15">
      <c r="A30" s="20"/>
      <c r="B30" s="58">
        <f>Admin!B17</f>
        <v>45752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16"/>
      <c r="AE30" s="417"/>
      <c r="AF30" s="417"/>
      <c r="AG30" s="41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H1:L1"/>
    <mergeCell ref="N1:R1"/>
    <mergeCell ref="T1:X1"/>
    <mergeCell ref="AD2:AG2"/>
    <mergeCell ref="AD19:AG21"/>
    <mergeCell ref="AD28:AG30"/>
    <mergeCell ref="AD3:AG9"/>
    <mergeCell ref="B4:F4"/>
    <mergeCell ref="AD11:AG13"/>
    <mergeCell ref="AD15:AG17"/>
    <mergeCell ref="AD23:AG26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33" t="s">
        <v>132</v>
      </c>
      <c r="C2" s="157" t="s">
        <v>129</v>
      </c>
      <c r="D2" s="388">
        <f>Admin!B5</f>
        <v>45412</v>
      </c>
      <c r="E2" s="387">
        <f>Admin!B6</f>
        <v>45443</v>
      </c>
      <c r="F2" s="387">
        <f>Admin!B7</f>
        <v>45473</v>
      </c>
      <c r="G2" s="387">
        <f>Admin!B8</f>
        <v>45504</v>
      </c>
      <c r="H2" s="387">
        <f>Admin!B9</f>
        <v>45535</v>
      </c>
      <c r="I2" s="387">
        <f>Admin!B10</f>
        <v>45565</v>
      </c>
      <c r="J2" s="387">
        <f>Admin!B11</f>
        <v>45596</v>
      </c>
      <c r="K2" s="387">
        <f>Admin!B12</f>
        <v>45626</v>
      </c>
      <c r="L2" s="387">
        <f>Admin!B13</f>
        <v>45657</v>
      </c>
      <c r="M2" s="387">
        <f>Admin!B14</f>
        <v>45688</v>
      </c>
      <c r="N2" s="387">
        <f>Admin!B15</f>
        <v>45716</v>
      </c>
      <c r="O2" s="387">
        <f>Admin!B16</f>
        <v>45747</v>
      </c>
      <c r="P2" s="23"/>
    </row>
    <row r="3" spans="1:16" ht="12" customHeight="1" x14ac:dyDescent="0.15">
      <c r="A3" s="23"/>
      <c r="B3" s="434"/>
      <c r="C3" s="158">
        <f>Admin!B$17</f>
        <v>45752</v>
      </c>
      <c r="D3" s="389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23"/>
    </row>
    <row r="4" spans="1:16" ht="13" thickBot="1" x14ac:dyDescent="0.2">
      <c r="A4" s="23"/>
      <c r="B4" s="432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Account'!C14</f>
        <v>0</v>
      </c>
      <c r="E5" s="62">
        <f>'Profit &amp; Loss Account'!D14</f>
        <v>0</v>
      </c>
      <c r="F5" s="62">
        <f>'Profit &amp; Loss Account'!E14</f>
        <v>0</v>
      </c>
      <c r="G5" s="62">
        <f>'Profit &amp; Loss Account'!F14</f>
        <v>0</v>
      </c>
      <c r="H5" s="62">
        <f>'Profit &amp; Loss Account'!G14</f>
        <v>0</v>
      </c>
      <c r="I5" s="62">
        <f>'Profit &amp; Loss Account'!H14</f>
        <v>0</v>
      </c>
      <c r="J5" s="62">
        <f>'Profit &amp; Loss Account'!I14</f>
        <v>0</v>
      </c>
      <c r="K5" s="62">
        <f>'Profit &amp; Loss Account'!J14</f>
        <v>0</v>
      </c>
      <c r="L5" s="62">
        <f>'Profit &amp; Loss Account'!K14</f>
        <v>0</v>
      </c>
      <c r="M5" s="62">
        <f>'Profit &amp; Loss Account'!L14</f>
        <v>0</v>
      </c>
      <c r="N5" s="62">
        <f>'Profit &amp; Loss Account'!M14</f>
        <v>0</v>
      </c>
      <c r="O5" s="62">
        <f>'Profit &amp; Loss Account'!N14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73</v>
      </c>
      <c r="C7" s="62">
        <f>SUM(D7:O7)</f>
        <v>0</v>
      </c>
      <c r="D7" s="75">
        <f>'Profit &amp; Loss Account'!C16</f>
        <v>0</v>
      </c>
      <c r="E7" s="75">
        <f>'Profit &amp; Loss Account'!D16</f>
        <v>0</v>
      </c>
      <c r="F7" s="75">
        <f>'Profit &amp; Loss Account'!E16</f>
        <v>0</v>
      </c>
      <c r="G7" s="75">
        <f>'Profit &amp; Loss Account'!F16</f>
        <v>0</v>
      </c>
      <c r="H7" s="75">
        <f>'Profit &amp; Loss Account'!G16</f>
        <v>0</v>
      </c>
      <c r="I7" s="75">
        <f>'Profit &amp; Loss Account'!H16</f>
        <v>0</v>
      </c>
      <c r="J7" s="75">
        <f>'Profit &amp; Loss Account'!I16</f>
        <v>0</v>
      </c>
      <c r="K7" s="75">
        <f>'Profit &amp; Loss Account'!J16</f>
        <v>0</v>
      </c>
      <c r="L7" s="75">
        <f>'Profit &amp; Loss Account'!K16</f>
        <v>0</v>
      </c>
      <c r="M7" s="75">
        <f>'Profit &amp; Loss Account'!L16</f>
        <v>0</v>
      </c>
      <c r="N7" s="75">
        <f>'Profit &amp; Loss Account'!M16</f>
        <v>0</v>
      </c>
      <c r="O7" s="75">
        <f>'Profit &amp; Loss Account'!N16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54</v>
      </c>
      <c r="C9" s="62">
        <f>SUM(D9:O9)</f>
        <v>0</v>
      </c>
      <c r="D9" s="62">
        <f>'Profit &amp; Loss Account'!C22</f>
        <v>0</v>
      </c>
      <c r="E9" s="62">
        <f>'Profit &amp; Loss Account'!D22</f>
        <v>0</v>
      </c>
      <c r="F9" s="62">
        <f>'Profit &amp; Loss Account'!E22</f>
        <v>0</v>
      </c>
      <c r="G9" s="62">
        <f>'Profit &amp; Loss Account'!F22</f>
        <v>0</v>
      </c>
      <c r="H9" s="62">
        <f>'Profit &amp; Loss Account'!G22</f>
        <v>0</v>
      </c>
      <c r="I9" s="62">
        <f>'Profit &amp; Loss Account'!H22</f>
        <v>0</v>
      </c>
      <c r="J9" s="62">
        <f>'Profit &amp; Loss Account'!I22</f>
        <v>0</v>
      </c>
      <c r="K9" s="62">
        <f>'Profit &amp; Loss Account'!J22</f>
        <v>0</v>
      </c>
      <c r="L9" s="62">
        <f>'Profit &amp; Loss Account'!K22</f>
        <v>0</v>
      </c>
      <c r="M9" s="62">
        <f>'Profit &amp; Loss Account'!L22</f>
        <v>0</v>
      </c>
      <c r="N9" s="62">
        <f>'Profit &amp; Loss Account'!M22</f>
        <v>0</v>
      </c>
      <c r="O9" s="62">
        <f>'Profit &amp; Loss Account'!N22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74</v>
      </c>
      <c r="C13" s="62">
        <f>SUM(D13:O13)</f>
        <v>0</v>
      </c>
      <c r="D13" s="62">
        <f>'Profit &amp; Loss Account'!C45</f>
        <v>0</v>
      </c>
      <c r="E13" s="62">
        <f>'Profit &amp; Loss Account'!D45</f>
        <v>0</v>
      </c>
      <c r="F13" s="62">
        <f>'Profit &amp; Loss Account'!E45</f>
        <v>0</v>
      </c>
      <c r="G13" s="62">
        <f>'Profit &amp; Loss Account'!F45</f>
        <v>0</v>
      </c>
      <c r="H13" s="62">
        <f>'Profit &amp; Loss Account'!G45</f>
        <v>0</v>
      </c>
      <c r="I13" s="62">
        <f>'Profit &amp; Loss Account'!H45</f>
        <v>0</v>
      </c>
      <c r="J13" s="62">
        <f>'Profit &amp; Loss Account'!I45</f>
        <v>0</v>
      </c>
      <c r="K13" s="62">
        <f>'Profit &amp; Loss Account'!J45</f>
        <v>0</v>
      </c>
      <c r="L13" s="62">
        <f>'Profit &amp; Loss Account'!K45</f>
        <v>0</v>
      </c>
      <c r="M13" s="62">
        <f>'Profit &amp; Loss Account'!L45</f>
        <v>0</v>
      </c>
      <c r="N13" s="62">
        <f>'Profit &amp; Loss Account'!M45</f>
        <v>0</v>
      </c>
      <c r="O13" s="62">
        <f>'Profit &amp; Loss Account'!N45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61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62</v>
      </c>
      <c r="C16" s="62">
        <f>SUM(D16:O16)</f>
        <v>0</v>
      </c>
      <c r="D16" s="75">
        <f>'Profit &amp; Loss Account'!C48</f>
        <v>0</v>
      </c>
      <c r="E16" s="75">
        <f>'Profit &amp; Loss Account'!D48</f>
        <v>0</v>
      </c>
      <c r="F16" s="75">
        <f>'Profit &amp; Loss Account'!E48</f>
        <v>0</v>
      </c>
      <c r="G16" s="75">
        <f>'Profit &amp; Loss Account'!F48</f>
        <v>0</v>
      </c>
      <c r="H16" s="75">
        <f>'Profit &amp; Loss Account'!G48</f>
        <v>0</v>
      </c>
      <c r="I16" s="75">
        <f>'Profit &amp; Loss Account'!H48</f>
        <v>0</v>
      </c>
      <c r="J16" s="75">
        <f>'Profit &amp; Loss Account'!I48</f>
        <v>0</v>
      </c>
      <c r="K16" s="75">
        <f>'Profit &amp; Loss Account'!J48</f>
        <v>0</v>
      </c>
      <c r="L16" s="75">
        <f>'Profit &amp; Loss Account'!K48</f>
        <v>0</v>
      </c>
      <c r="M16" s="75">
        <f>'Profit &amp; Loss Account'!L48</f>
        <v>0</v>
      </c>
      <c r="N16" s="75">
        <f>'Profit &amp; Loss Account'!M48</f>
        <v>0</v>
      </c>
      <c r="O16" s="75">
        <f>'Profit &amp; Loss Account'!N48</f>
        <v>0</v>
      </c>
      <c r="P16" s="23"/>
    </row>
    <row r="17" spans="1:16" x14ac:dyDescent="0.15">
      <c r="A17" s="23"/>
      <c r="B17" s="130" t="s">
        <v>63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30" t="s">
        <v>133</v>
      </c>
      <c r="C19" s="157" t="s">
        <v>129</v>
      </c>
      <c r="D19" s="388">
        <f t="shared" ref="D19:O19" si="3">D2</f>
        <v>45412</v>
      </c>
      <c r="E19" s="388">
        <f t="shared" si="3"/>
        <v>45443</v>
      </c>
      <c r="F19" s="388">
        <f t="shared" si="3"/>
        <v>45473</v>
      </c>
      <c r="G19" s="388">
        <f t="shared" si="3"/>
        <v>45504</v>
      </c>
      <c r="H19" s="388">
        <f t="shared" si="3"/>
        <v>45535</v>
      </c>
      <c r="I19" s="388">
        <f t="shared" si="3"/>
        <v>45565</v>
      </c>
      <c r="J19" s="388">
        <f t="shared" si="3"/>
        <v>45596</v>
      </c>
      <c r="K19" s="388">
        <f t="shared" si="3"/>
        <v>45626</v>
      </c>
      <c r="L19" s="388">
        <f t="shared" si="3"/>
        <v>45657</v>
      </c>
      <c r="M19" s="388">
        <f t="shared" si="3"/>
        <v>45688</v>
      </c>
      <c r="N19" s="388">
        <f t="shared" si="3"/>
        <v>45716</v>
      </c>
      <c r="O19" s="388">
        <f t="shared" si="3"/>
        <v>45747</v>
      </c>
      <c r="P19" s="23"/>
    </row>
    <row r="20" spans="1:16" ht="12" customHeight="1" x14ac:dyDescent="0.15">
      <c r="A20" s="23"/>
      <c r="B20" s="431"/>
      <c r="C20" s="158">
        <f>Admin!B$17</f>
        <v>45752</v>
      </c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23"/>
    </row>
    <row r="21" spans="1:16" ht="13" thickBot="1" x14ac:dyDescent="0.2">
      <c r="A21" s="23"/>
      <c r="B21" s="432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73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54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74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61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62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63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28" t="s">
        <v>84</v>
      </c>
      <c r="C36" s="42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76</v>
      </c>
      <c r="C37" s="128">
        <f>'Profit &amp; Loss Account'!B43+'Profit &amp; Loss Account'!B44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75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77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78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79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80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81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82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83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H2:H3"/>
    <mergeCell ref="B2:B4"/>
    <mergeCell ref="D2:D3"/>
    <mergeCell ref="E2:E3"/>
    <mergeCell ref="F2:F3"/>
    <mergeCell ref="G2:G3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M19:M20"/>
    <mergeCell ref="B36:C36"/>
    <mergeCell ref="J19:J20"/>
    <mergeCell ref="K19:K20"/>
    <mergeCell ref="L19:L20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 year to 050409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D2" sqref="D2:F2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3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91</v>
      </c>
      <c r="C1" s="147"/>
      <c r="D1" s="439"/>
      <c r="E1" s="439"/>
      <c r="F1" s="439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45350</v>
      </c>
      <c r="C2" s="147"/>
      <c r="D2" s="440" t="s">
        <v>92</v>
      </c>
      <c r="E2" s="440"/>
      <c r="F2" s="440"/>
      <c r="G2" s="287" t="str">
        <f>B23</f>
        <v>2024-25</v>
      </c>
      <c r="H2" s="147"/>
      <c r="I2" s="147"/>
      <c r="J2" s="435" t="s">
        <v>109</v>
      </c>
      <c r="K2" s="435"/>
      <c r="L2" s="165" t="str">
        <f>G2</f>
        <v>2024-25</v>
      </c>
      <c r="M2" s="147"/>
      <c r="N2" s="147"/>
      <c r="O2" s="147"/>
    </row>
    <row r="3" spans="1:15" ht="12" customHeight="1" thickBot="1" x14ac:dyDescent="0.2">
      <c r="A3" s="147"/>
      <c r="B3" s="164">
        <v>45382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45388</v>
      </c>
      <c r="C4" s="147"/>
      <c r="D4" s="436" t="s">
        <v>339</v>
      </c>
      <c r="E4" s="436"/>
      <c r="F4" s="436"/>
      <c r="G4" s="148">
        <v>1</v>
      </c>
      <c r="H4" s="147"/>
      <c r="I4" s="436" t="s">
        <v>110</v>
      </c>
      <c r="J4" s="436"/>
      <c r="K4" s="436"/>
      <c r="L4" s="436"/>
      <c r="M4" s="436"/>
      <c r="N4" s="145">
        <v>12570</v>
      </c>
      <c r="O4" s="146" t="s">
        <v>51</v>
      </c>
    </row>
    <row r="5" spans="1:15" ht="12" customHeight="1" x14ac:dyDescent="0.15">
      <c r="A5" s="147"/>
      <c r="B5" s="164">
        <v>45412</v>
      </c>
      <c r="C5" s="147"/>
      <c r="D5" s="436" t="s">
        <v>93</v>
      </c>
      <c r="E5" s="436"/>
      <c r="F5" s="436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45443</v>
      </c>
      <c r="C6" s="147"/>
      <c r="D6" s="147"/>
      <c r="E6" s="147"/>
      <c r="F6" s="147"/>
      <c r="G6" s="146"/>
      <c r="H6" s="147"/>
      <c r="I6" s="436" t="s">
        <v>130</v>
      </c>
      <c r="J6" s="436"/>
      <c r="K6" s="436"/>
      <c r="L6" s="436"/>
      <c r="M6" s="436"/>
      <c r="N6" s="148">
        <v>0.2</v>
      </c>
      <c r="O6" s="146" t="s">
        <v>105</v>
      </c>
    </row>
    <row r="7" spans="1:15" ht="12" customHeight="1" x14ac:dyDescent="0.15">
      <c r="A7" s="147"/>
      <c r="B7" s="164">
        <v>45473</v>
      </c>
      <c r="C7" s="147"/>
      <c r="D7" s="436" t="s">
        <v>100</v>
      </c>
      <c r="E7" s="436"/>
      <c r="F7" s="436"/>
      <c r="G7" s="146"/>
      <c r="H7" s="147"/>
      <c r="I7" s="436" t="s">
        <v>131</v>
      </c>
      <c r="J7" s="436"/>
      <c r="K7" s="436"/>
      <c r="L7" s="436"/>
      <c r="M7" s="436"/>
      <c r="N7" s="148">
        <v>0.4</v>
      </c>
      <c r="O7" s="146" t="s">
        <v>105</v>
      </c>
    </row>
    <row r="8" spans="1:15" ht="12" customHeight="1" x14ac:dyDescent="0.15">
      <c r="A8" s="147"/>
      <c r="B8" s="164">
        <v>45504</v>
      </c>
      <c r="C8" s="147"/>
      <c r="D8" s="147" t="s">
        <v>101</v>
      </c>
      <c r="E8" s="152">
        <v>12000</v>
      </c>
      <c r="F8" s="147" t="s">
        <v>102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45535</v>
      </c>
      <c r="C9" s="147"/>
      <c r="D9" s="147"/>
      <c r="E9" s="146"/>
      <c r="F9" s="147"/>
      <c r="G9" s="146"/>
      <c r="H9" s="147"/>
      <c r="I9" s="436" t="s">
        <v>111</v>
      </c>
      <c r="J9" s="437"/>
      <c r="K9" s="437"/>
      <c r="L9" s="149" t="s">
        <v>112</v>
      </c>
      <c r="M9" s="149" t="s">
        <v>113</v>
      </c>
      <c r="N9" s="150" t="s">
        <v>134</v>
      </c>
      <c r="O9" s="146"/>
    </row>
    <row r="10" spans="1:15" ht="12" customHeight="1" x14ac:dyDescent="0.15">
      <c r="A10" s="147"/>
      <c r="B10" s="164">
        <v>45565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45596</v>
      </c>
      <c r="C11" s="147"/>
      <c r="D11" s="440" t="s">
        <v>94</v>
      </c>
      <c r="E11" s="440"/>
      <c r="F11" s="440"/>
      <c r="G11" s="146" t="s">
        <v>105</v>
      </c>
      <c r="H11" s="147"/>
      <c r="I11" s="147" t="s">
        <v>114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45626</v>
      </c>
      <c r="C12" s="147"/>
      <c r="D12" s="147"/>
      <c r="E12" s="147"/>
      <c r="F12" s="147"/>
      <c r="G12" s="146"/>
      <c r="H12" s="147"/>
      <c r="I12" s="147" t="s">
        <v>115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45657</v>
      </c>
      <c r="C13" s="147"/>
      <c r="D13" s="436" t="s">
        <v>95</v>
      </c>
      <c r="E13" s="436"/>
      <c r="F13" s="436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45688</v>
      </c>
      <c r="C14" s="147"/>
      <c r="D14" s="436" t="s">
        <v>96</v>
      </c>
      <c r="E14" s="436"/>
      <c r="F14" s="436"/>
      <c r="G14" s="148">
        <v>0.1</v>
      </c>
      <c r="H14" s="147"/>
      <c r="I14" s="438" t="s">
        <v>121</v>
      </c>
      <c r="J14" s="438"/>
      <c r="K14" s="438"/>
      <c r="L14" s="167" t="str">
        <f>G2</f>
        <v>2024-25</v>
      </c>
      <c r="M14" s="147"/>
      <c r="N14" s="147"/>
      <c r="O14" s="147"/>
    </row>
    <row r="15" spans="1:15" ht="12" customHeight="1" x14ac:dyDescent="0.15">
      <c r="A15" s="147"/>
      <c r="B15" s="164">
        <v>45716</v>
      </c>
      <c r="C15" s="147"/>
      <c r="D15" s="436" t="s">
        <v>97</v>
      </c>
      <c r="E15" s="436"/>
      <c r="F15" s="436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45747</v>
      </c>
      <c r="C16" s="147"/>
      <c r="D16" s="436" t="s">
        <v>98</v>
      </c>
      <c r="E16" s="436"/>
      <c r="F16" s="436"/>
      <c r="G16" s="148">
        <v>0.33</v>
      </c>
      <c r="H16" s="147"/>
      <c r="I16" s="436" t="s">
        <v>122</v>
      </c>
      <c r="J16" s="436"/>
      <c r="K16" s="436"/>
      <c r="L16" s="168">
        <v>0</v>
      </c>
      <c r="M16" s="147"/>
      <c r="N16" s="147"/>
      <c r="O16" s="147"/>
    </row>
    <row r="17" spans="1:15" ht="12" customHeight="1" thickBot="1" x14ac:dyDescent="0.2">
      <c r="A17" s="147"/>
      <c r="B17" s="175">
        <v>45752</v>
      </c>
      <c r="C17" s="147"/>
      <c r="D17" s="436" t="s">
        <v>99</v>
      </c>
      <c r="E17" s="436"/>
      <c r="F17" s="436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45777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45808</v>
      </c>
      <c r="C19" s="147"/>
      <c r="D19" s="440" t="s">
        <v>103</v>
      </c>
      <c r="E19" s="440"/>
      <c r="F19" s="146" t="s">
        <v>108</v>
      </c>
      <c r="G19" s="146" t="s">
        <v>104</v>
      </c>
      <c r="H19" s="147"/>
      <c r="I19" s="441" t="s">
        <v>123</v>
      </c>
      <c r="J19" s="441"/>
      <c r="K19" s="441"/>
      <c r="L19" s="147"/>
      <c r="M19" s="442" t="s">
        <v>389</v>
      </c>
      <c r="N19" s="147"/>
      <c r="O19" s="147"/>
    </row>
    <row r="20" spans="1:15" ht="12" customHeight="1" x14ac:dyDescent="0.15">
      <c r="A20" s="147"/>
      <c r="B20" s="164">
        <v>45838</v>
      </c>
      <c r="C20" s="147"/>
      <c r="D20" s="162"/>
      <c r="E20" s="162"/>
      <c r="F20" s="146"/>
      <c r="G20" s="146"/>
      <c r="H20" s="147"/>
      <c r="I20" s="441"/>
      <c r="J20" s="441"/>
      <c r="K20" s="441"/>
      <c r="L20" s="294">
        <v>0.06</v>
      </c>
      <c r="M20" s="442"/>
      <c r="N20" s="152">
        <v>12570</v>
      </c>
      <c r="O20" s="146" t="s">
        <v>51</v>
      </c>
    </row>
    <row r="21" spans="1:15" ht="12" customHeight="1" x14ac:dyDescent="0.15">
      <c r="A21" s="147"/>
      <c r="B21" s="164">
        <v>46053</v>
      </c>
      <c r="C21" s="147"/>
      <c r="D21" s="436" t="s">
        <v>106</v>
      </c>
      <c r="E21" s="436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46234</v>
      </c>
      <c r="C22" s="147"/>
      <c r="D22" s="147" t="s">
        <v>107</v>
      </c>
      <c r="E22" s="147"/>
      <c r="F22" s="152">
        <v>10001</v>
      </c>
      <c r="G22" s="168">
        <v>0.25</v>
      </c>
      <c r="H22" s="147"/>
      <c r="I22" s="441" t="s">
        <v>124</v>
      </c>
      <c r="J22" s="441"/>
      <c r="K22" s="441"/>
      <c r="L22" s="147"/>
      <c r="M22" s="442" t="s">
        <v>390</v>
      </c>
      <c r="N22" s="147"/>
      <c r="O22" s="147"/>
    </row>
    <row r="23" spans="1:15" ht="12" customHeight="1" thickBot="1" x14ac:dyDescent="0.2">
      <c r="A23" s="147"/>
      <c r="B23" s="175" t="s">
        <v>395</v>
      </c>
      <c r="C23" s="147"/>
      <c r="D23" s="147"/>
      <c r="E23" s="147"/>
      <c r="F23" s="146"/>
      <c r="G23" s="170"/>
      <c r="H23" s="147"/>
      <c r="I23" s="441"/>
      <c r="J23" s="441"/>
      <c r="K23" s="441"/>
      <c r="L23" s="294">
        <v>0.02</v>
      </c>
      <c r="M23" s="442"/>
      <c r="N23" s="152">
        <v>50270</v>
      </c>
      <c r="O23" s="146" t="s">
        <v>51</v>
      </c>
    </row>
    <row r="24" spans="1:15" ht="12" customHeight="1" thickBot="1" x14ac:dyDescent="0.2">
      <c r="A24" s="147"/>
      <c r="B24" s="175" t="s">
        <v>397</v>
      </c>
      <c r="C24" s="147"/>
      <c r="D24" s="440" t="s">
        <v>103</v>
      </c>
      <c r="E24" s="440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36" t="s">
        <v>391</v>
      </c>
      <c r="E26" s="436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392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D24:E24"/>
    <mergeCell ref="D26:E26"/>
    <mergeCell ref="M19:M20"/>
    <mergeCell ref="M22:M23"/>
    <mergeCell ref="I22:K23"/>
    <mergeCell ref="D21:E21"/>
    <mergeCell ref="I16:K16"/>
    <mergeCell ref="I19:K20"/>
    <mergeCell ref="D19:E19"/>
    <mergeCell ref="D13:F13"/>
    <mergeCell ref="D16:F16"/>
    <mergeCell ref="D17:F17"/>
    <mergeCell ref="D15:F15"/>
    <mergeCell ref="D1:F1"/>
    <mergeCell ref="D2:F2"/>
    <mergeCell ref="D11:F11"/>
    <mergeCell ref="D4:F4"/>
    <mergeCell ref="D5:F5"/>
    <mergeCell ref="D7:F7"/>
    <mergeCell ref="J2:K2"/>
    <mergeCell ref="I4:M4"/>
    <mergeCell ref="I6:M6"/>
    <mergeCell ref="I7:M7"/>
    <mergeCell ref="D14:F14"/>
    <mergeCell ref="I9:K9"/>
    <mergeCell ref="I14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Business Details</vt:lpstr>
      <vt:lpstr>SE Short</vt:lpstr>
      <vt:lpstr>SE Full</vt:lpstr>
      <vt:lpstr>Profit &amp; Loss Account</vt:lpstr>
      <vt:lpstr>Income Tax</vt:lpstr>
      <vt:lpstr>Wagesinterface</vt:lpstr>
      <vt:lpstr>StockControl</vt:lpstr>
      <vt:lpstr>Profit Forecast</vt:lpstr>
      <vt:lpstr>Admin</vt:lpstr>
      <vt:lpstr>'Profit &amp; Loss Account'!Print_Titles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DIY Accounting Customer Service</cp:lastModifiedBy>
  <cp:lastPrinted>2008-06-02T20:53:06Z</cp:lastPrinted>
  <dcterms:created xsi:type="dcterms:W3CDTF">2002-12-30T15:31:19Z</dcterms:created>
  <dcterms:modified xsi:type="dcterms:W3CDTF">2024-04-15T20:24:04Z</dcterms:modified>
</cp:coreProperties>
</file>