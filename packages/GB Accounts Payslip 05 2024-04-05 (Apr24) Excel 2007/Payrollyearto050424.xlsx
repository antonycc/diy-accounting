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3-24/GB Accounts Payslip 05 2024-04-05 (Apr24) Excel 2007/"/>
    </mc:Choice>
  </mc:AlternateContent>
  <xr:revisionPtr revIDLastSave="0" documentId="13_ncr:1_{BD55F666-1EF1-9543-943A-B5979B6175D8}" xr6:coauthVersionLast="47" xr6:coauthVersionMax="47" xr10:uidLastSave="{00000000-0000-0000-0000-000000000000}"/>
  <bookViews>
    <workbookView xWindow="0" yWindow="500" windowWidth="30800" windowHeight="20040" tabRatio="909" xr2:uid="{00000000-000D-0000-FFFF-FFFF00000000}"/>
  </bookViews>
  <sheets>
    <sheet name="Employee" sheetId="25" r:id="rId1"/>
    <sheet name="Apr23" sheetId="12" r:id="rId2"/>
    <sheet name="May23" sheetId="11" r:id="rId3"/>
    <sheet name="Jun23" sheetId="10" r:id="rId4"/>
    <sheet name="Jul23" sheetId="9" r:id="rId5"/>
    <sheet name="Aug23" sheetId="8" r:id="rId6"/>
    <sheet name="Sep23" sheetId="17" r:id="rId7"/>
    <sheet name="Oct23" sheetId="16" r:id="rId8"/>
    <sheet name="Nov23" sheetId="15" r:id="rId9"/>
    <sheet name="Dec23" sheetId="14" r:id="rId10"/>
    <sheet name="Jan24" sheetId="13" r:id="rId11"/>
    <sheet name="Feb24" sheetId="19" r:id="rId12"/>
    <sheet name="Mar24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'Apr23'!$E:$F,'Apr23'!$1:$6</definedName>
    <definedName name="_xlnm.Print_Titles" localSheetId="5">'Aug23'!$A:$D,'Aug23'!$1:$6</definedName>
    <definedName name="_xlnm.Print_Titles" localSheetId="9">'Dec23'!$A:$D,'Dec23'!$1:$6</definedName>
    <definedName name="_xlnm.Print_Titles" localSheetId="11">'Feb24'!$A:$D,'Feb24'!$1:$6</definedName>
    <definedName name="_xlnm.Print_Titles" localSheetId="10">'Jan24'!$A:$D,'Jan24'!$1:$6</definedName>
    <definedName name="_xlnm.Print_Titles" localSheetId="4">'Jul23'!$A:$D,'Jul23'!$1:$6</definedName>
    <definedName name="_xlnm.Print_Titles" localSheetId="3">'Jun23'!$A:$D,'Jun23'!$1:$6</definedName>
    <definedName name="_xlnm.Print_Titles" localSheetId="12">'Mar24'!$A:$D,'Mar24'!$1:$6</definedName>
    <definedName name="_xlnm.Print_Titles" localSheetId="2">'May23'!$A:$D,'May23'!$1:$6</definedName>
    <definedName name="_xlnm.Print_Titles" localSheetId="8">'Nov23'!$A:$D,'Nov23'!$1:$6</definedName>
    <definedName name="_xlnm.Print_Titles" localSheetId="7">'Oct23'!$A:$D,'Oct23'!$1:$6</definedName>
    <definedName name="_xlnm.Print_Titles" localSheetId="6">'Sep23'!$A:$D,'Sep23'!$1:$6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AC23" i="16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51" i="10"/>
  <c r="E11" i="9"/>
  <c r="B11" i="9" s="1"/>
  <c r="E13" i="16"/>
  <c r="E53" i="10"/>
  <c r="E13" i="9"/>
  <c r="B13" i="9" s="1"/>
  <c r="E14" i="16"/>
  <c r="E14" i="9"/>
  <c r="B14" i="9" s="1"/>
  <c r="E54" i="10"/>
  <c r="E12" i="16"/>
  <c r="F12" i="16" s="1"/>
  <c r="E52" i="10"/>
  <c r="E12" i="9"/>
  <c r="B12" i="9" s="1"/>
  <c r="E15" i="16"/>
  <c r="M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M15" i="9"/>
  <c r="E43" i="12"/>
  <c r="M43" i="12" s="1"/>
  <c r="M14" i="9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51" i="40"/>
  <c r="M37" i="40"/>
  <c r="M66" i="40"/>
  <c r="M22" i="40"/>
  <c r="F54" i="10" l="1"/>
  <c r="B54" i="10"/>
  <c r="M54" i="10"/>
  <c r="F52" i="10"/>
  <c r="M52" i="10"/>
  <c r="B52" i="10"/>
  <c r="B15" i="16"/>
  <c r="M12" i="9"/>
  <c r="M53" i="10"/>
  <c r="F53" i="10"/>
  <c r="B53" i="10"/>
  <c r="M13" i="9"/>
  <c r="B12" i="16"/>
  <c r="M51" i="10"/>
  <c r="B51" i="10"/>
  <c r="F51" i="10"/>
  <c r="M55" i="10"/>
  <c r="F55" i="10"/>
  <c r="B55" i="10"/>
  <c r="F15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1" i="10"/>
  <c r="M56" i="10"/>
  <c r="R54" i="10"/>
  <c r="R53" i="10"/>
  <c r="V53" i="10"/>
  <c r="V13" i="9" s="1"/>
  <c r="V23" i="9" s="1"/>
  <c r="R14" i="8"/>
  <c r="R55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M1" i="10" s="1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9"/>
  <c r="R1" i="10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23" i="8"/>
  <c r="AA33" i="8" s="1"/>
  <c r="AA43" i="8" s="1"/>
  <c r="AA13" i="17" s="1"/>
  <c r="AA23" i="17" s="1"/>
  <c r="AA33" i="17" s="1"/>
  <c r="AA43" i="17" s="1"/>
  <c r="AA53" i="17" s="1"/>
  <c r="AA13" i="8"/>
  <c r="AA24" i="8"/>
  <c r="AA34" i="8" s="1"/>
  <c r="AA44" i="8" s="1"/>
  <c r="AA14" i="17" s="1"/>
  <c r="AA24" i="17" s="1"/>
  <c r="AA34" i="17" s="1"/>
  <c r="AA44" i="17" s="1"/>
  <c r="AA54" i="17" s="1"/>
  <c r="AA14" i="8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5" i="16" l="1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AA14" i="16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33" i="16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3" i="16"/>
  <c r="AA23" i="16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<sst xmlns="http://schemas.openxmlformats.org/spreadsheetml/2006/main" count="1383" uniqueCount="138">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</sst>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9"/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46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6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4" t="s">
        <v>135</v>
      </c>
      <c r="I3" s="354"/>
      <c r="J3" s="354"/>
      <c r="K3" s="354"/>
      <c r="L3" s="354"/>
      <c r="M3" s="354"/>
      <c r="N3" s="5"/>
      <c r="O3" s="62"/>
      <c r="P3" s="143"/>
      <c r="Q3" s="351" t="s">
        <v>66</v>
      </c>
      <c r="R3" s="352"/>
      <c r="S3" s="353"/>
      <c r="T3" s="80"/>
      <c r="U3" s="346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6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5"/>
      <c r="E5" s="356"/>
      <c r="F5" s="357"/>
      <c r="G5" s="5"/>
      <c r="H5" s="358" t="s">
        <v>137</v>
      </c>
      <c r="I5" s="358"/>
      <c r="J5" s="358"/>
      <c r="K5" s="358"/>
      <c r="L5" s="358"/>
      <c r="M5" s="358"/>
      <c r="N5" s="358"/>
      <c r="O5" s="358"/>
      <c r="P5" s="68"/>
      <c r="Q5" s="5"/>
      <c r="R5" s="79"/>
      <c r="S5" s="79"/>
      <c r="T5" s="80"/>
      <c r="U5" s="346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5"/>
      <c r="E6" s="356"/>
      <c r="F6" s="357"/>
      <c r="G6" s="5"/>
      <c r="H6" s="358"/>
      <c r="I6" s="358"/>
      <c r="J6" s="358"/>
      <c r="K6" s="358"/>
      <c r="L6" s="358"/>
      <c r="M6" s="358"/>
      <c r="N6" s="358"/>
      <c r="O6" s="358"/>
      <c r="P6" s="68"/>
      <c r="Q6" s="5"/>
      <c r="R6" s="79"/>
      <c r="S6" s="79"/>
      <c r="T6" s="80"/>
      <c r="U6" s="346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5"/>
      <c r="E7" s="356"/>
      <c r="F7" s="357"/>
      <c r="G7" s="5"/>
      <c r="H7" s="358"/>
      <c r="I7" s="358"/>
      <c r="J7" s="358"/>
      <c r="K7" s="358"/>
      <c r="L7" s="358"/>
      <c r="M7" s="358"/>
      <c r="N7" s="358"/>
      <c r="O7" s="358"/>
      <c r="P7" s="68"/>
      <c r="Q7" s="5"/>
      <c r="R7" s="79"/>
      <c r="S7" s="79"/>
      <c r="T7" s="80"/>
      <c r="U7" s="346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6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45386</v>
      </c>
      <c r="P9" s="145"/>
      <c r="Q9" s="140"/>
      <c r="R9" s="141"/>
      <c r="S9" s="141"/>
      <c r="T9" s="80"/>
      <c r="U9" s="346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6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7"/>
      <c r="B11" s="347"/>
      <c r="C11" s="347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8"/>
      <c r="S11" s="348"/>
      <c r="T11" s="348"/>
      <c r="U11" s="346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6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9" t="s">
        <v>50</v>
      </c>
      <c r="I13" s="14"/>
      <c r="J13" s="22"/>
      <c r="K13" s="83" t="s">
        <v>20</v>
      </c>
      <c r="L13" s="52"/>
      <c r="M13" s="70"/>
      <c r="N13" s="13"/>
      <c r="O13" s="344"/>
      <c r="P13" s="345"/>
      <c r="Q13" s="341"/>
      <c r="R13" s="53"/>
      <c r="S13" s="331"/>
      <c r="T13" s="15"/>
      <c r="U13" s="346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9"/>
      <c r="I14" s="14"/>
      <c r="J14" s="22"/>
      <c r="K14" s="52"/>
      <c r="L14" s="52"/>
      <c r="M14" s="70"/>
      <c r="N14" s="13"/>
      <c r="O14" s="14"/>
      <c r="P14" s="148"/>
      <c r="Q14" s="342"/>
      <c r="R14" s="14"/>
      <c r="S14" s="332"/>
      <c r="T14" s="15"/>
      <c r="U14" s="346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3"/>
      <c r="E15" s="334"/>
      <c r="F15" s="335"/>
      <c r="G15" s="14"/>
      <c r="H15" s="21" t="s">
        <v>51</v>
      </c>
      <c r="I15" s="14"/>
      <c r="J15" s="51"/>
      <c r="K15" s="14" t="s">
        <v>17</v>
      </c>
      <c r="L15" s="14"/>
      <c r="M15" s="336"/>
      <c r="N15" s="337"/>
      <c r="O15" s="338"/>
      <c r="P15" s="148"/>
      <c r="Q15" s="138"/>
      <c r="R15" s="136"/>
      <c r="S15" s="139"/>
      <c r="T15" s="15"/>
      <c r="U15" s="346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3"/>
      <c r="E16" s="334"/>
      <c r="F16" s="335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6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6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6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6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6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6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6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6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06/04/23)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6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6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6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6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6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6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6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6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6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6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6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6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6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3"/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343"/>
      <c r="U37" s="342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2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9" t="s">
        <v>50</v>
      </c>
      <c r="I39" s="14"/>
      <c r="J39" s="22"/>
      <c r="K39" s="83" t="s">
        <v>20</v>
      </c>
      <c r="L39" s="52"/>
      <c r="M39" s="70"/>
      <c r="N39" s="13"/>
      <c r="O39" s="344"/>
      <c r="P39" s="345"/>
      <c r="Q39" s="341"/>
      <c r="R39" s="53"/>
      <c r="S39" s="331"/>
      <c r="T39" s="15"/>
      <c r="U39" s="342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9"/>
      <c r="I40" s="14"/>
      <c r="J40" s="22"/>
      <c r="K40" s="52"/>
      <c r="L40" s="52"/>
      <c r="M40" s="70"/>
      <c r="N40" s="13"/>
      <c r="O40" s="14"/>
      <c r="P40" s="148"/>
      <c r="Q40" s="342"/>
      <c r="R40" s="14"/>
      <c r="S40" s="332"/>
      <c r="T40" s="15"/>
      <c r="U40" s="342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3"/>
      <c r="E41" s="334"/>
      <c r="F41" s="335"/>
      <c r="G41" s="14"/>
      <c r="H41" s="21" t="s">
        <v>51</v>
      </c>
      <c r="I41" s="14"/>
      <c r="J41" s="51"/>
      <c r="K41" s="14" t="s">
        <v>17</v>
      </c>
      <c r="L41" s="14"/>
      <c r="M41" s="336"/>
      <c r="N41" s="337"/>
      <c r="O41" s="338"/>
      <c r="P41" s="148"/>
      <c r="Q41" s="138"/>
      <c r="R41" s="136"/>
      <c r="S41" s="139"/>
      <c r="T41" s="15"/>
      <c r="U41" s="342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3"/>
      <c r="E42" s="334"/>
      <c r="F42" s="335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2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2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2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2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2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2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2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2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06/04/23)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2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2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2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2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2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2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2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2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2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2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2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9"/>
      <c r="L61" s="339"/>
      <c r="M61" s="340"/>
      <c r="N61" s="340"/>
      <c r="O61" s="340"/>
      <c r="P61" s="340"/>
      <c r="Q61" s="340"/>
      <c r="R61" s="340"/>
      <c r="S61" s="340"/>
      <c r="T61" s="15"/>
      <c r="U61" s="342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2"/>
      <c r="W62" s="206">
        <f>Admin!B62</f>
        <v>45082</v>
      </c>
    </row>
    <row r="63" spans="1:24" ht="22.5" customHeight="1" thickBot="1" x14ac:dyDescent="0.2">
      <c r="A63" s="343"/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2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2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9" t="s">
        <v>50</v>
      </c>
      <c r="I65" s="14"/>
      <c r="J65" s="22"/>
      <c r="K65" s="83" t="s">
        <v>20</v>
      </c>
      <c r="L65" s="52"/>
      <c r="M65" s="70"/>
      <c r="N65" s="13"/>
      <c r="O65" s="344"/>
      <c r="P65" s="345"/>
      <c r="Q65" s="341"/>
      <c r="R65" s="53"/>
      <c r="S65" s="331"/>
      <c r="T65" s="15"/>
      <c r="U65" s="342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9"/>
      <c r="I66" s="14"/>
      <c r="J66" s="22"/>
      <c r="K66" s="52"/>
      <c r="L66" s="52"/>
      <c r="M66" s="70"/>
      <c r="N66" s="13"/>
      <c r="O66" s="14"/>
      <c r="P66" s="148"/>
      <c r="Q66" s="342"/>
      <c r="R66" s="14"/>
      <c r="S66" s="332"/>
      <c r="T66" s="15"/>
      <c r="U66" s="342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3"/>
      <c r="E67" s="334"/>
      <c r="F67" s="335"/>
      <c r="G67" s="14"/>
      <c r="H67" s="21" t="s">
        <v>51</v>
      </c>
      <c r="I67" s="14"/>
      <c r="J67" s="51"/>
      <c r="K67" s="14" t="s">
        <v>17</v>
      </c>
      <c r="L67" s="14"/>
      <c r="M67" s="336"/>
      <c r="N67" s="337"/>
      <c r="O67" s="338"/>
      <c r="P67" s="148"/>
      <c r="Q67" s="138"/>
      <c r="R67" s="136"/>
      <c r="S67" s="139"/>
      <c r="T67" s="15"/>
      <c r="U67" s="342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3"/>
      <c r="E68" s="334"/>
      <c r="F68" s="335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2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2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2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2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2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2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2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2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06/04/23)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2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2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2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2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2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2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2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2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2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2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2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2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2"/>
      <c r="W88" s="206">
        <f>Admin!B88</f>
        <v>45108</v>
      </c>
    </row>
    <row r="89" spans="1:23" ht="22.5" customHeight="1" thickBot="1" x14ac:dyDescent="0.2">
      <c r="A89" s="343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2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2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9" t="s">
        <v>50</v>
      </c>
      <c r="I91" s="14"/>
      <c r="J91" s="22"/>
      <c r="K91" s="83" t="s">
        <v>20</v>
      </c>
      <c r="L91" s="52"/>
      <c r="M91" s="70"/>
      <c r="N91" s="13"/>
      <c r="O91" s="344"/>
      <c r="P91" s="345"/>
      <c r="Q91" s="341"/>
      <c r="R91" s="53"/>
      <c r="S91" s="331"/>
      <c r="T91" s="15"/>
      <c r="U91" s="342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9"/>
      <c r="I92" s="14"/>
      <c r="J92" s="22"/>
      <c r="K92" s="52"/>
      <c r="L92" s="52"/>
      <c r="M92" s="70"/>
      <c r="N92" s="13"/>
      <c r="O92" s="14"/>
      <c r="P92" s="148"/>
      <c r="Q92" s="342"/>
      <c r="R92" s="14"/>
      <c r="S92" s="332"/>
      <c r="T92" s="15"/>
      <c r="U92" s="342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3"/>
      <c r="E93" s="334"/>
      <c r="F93" s="335"/>
      <c r="G93" s="14"/>
      <c r="H93" s="21" t="s">
        <v>51</v>
      </c>
      <c r="I93" s="14"/>
      <c r="J93" s="51"/>
      <c r="K93" s="14" t="s">
        <v>17</v>
      </c>
      <c r="L93" s="14"/>
      <c r="M93" s="336"/>
      <c r="N93" s="337"/>
      <c r="O93" s="338"/>
      <c r="P93" s="148"/>
      <c r="Q93" s="138"/>
      <c r="R93" s="136"/>
      <c r="S93" s="139"/>
      <c r="T93" s="15"/>
      <c r="U93" s="342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3"/>
      <c r="E94" s="334"/>
      <c r="F94" s="335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2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3"/>
      <c r="E95" s="334"/>
      <c r="F95" s="335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2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2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2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2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2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2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2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06/04/23)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2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2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2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2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2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2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2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2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2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2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2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2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2"/>
      <c r="W114" s="206">
        <f>Admin!B114</f>
        <v>45134</v>
      </c>
    </row>
    <row r="115" spans="1:23" ht="22.5" customHeight="1" thickBot="1" x14ac:dyDescent="0.2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2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2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9" t="s">
        <v>50</v>
      </c>
      <c r="I117" s="14"/>
      <c r="J117" s="22"/>
      <c r="K117" s="83" t="s">
        <v>20</v>
      </c>
      <c r="L117" s="52"/>
      <c r="M117" s="70"/>
      <c r="N117" s="13"/>
      <c r="O117" s="344"/>
      <c r="P117" s="345"/>
      <c r="Q117" s="341"/>
      <c r="R117" s="53"/>
      <c r="S117" s="331"/>
      <c r="T117" s="15"/>
      <c r="U117" s="342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9"/>
      <c r="I118" s="14"/>
      <c r="J118" s="22"/>
      <c r="K118" s="52"/>
      <c r="L118" s="52"/>
      <c r="M118" s="70"/>
      <c r="N118" s="13"/>
      <c r="O118" s="14"/>
      <c r="P118" s="148"/>
      <c r="Q118" s="342"/>
      <c r="R118" s="14"/>
      <c r="S118" s="332"/>
      <c r="T118" s="15"/>
      <c r="U118" s="342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3"/>
      <c r="E119" s="334"/>
      <c r="F119" s="335"/>
      <c r="G119" s="14"/>
      <c r="H119" s="21" t="s">
        <v>51</v>
      </c>
      <c r="I119" s="14"/>
      <c r="J119" s="51"/>
      <c r="K119" s="14" t="s">
        <v>17</v>
      </c>
      <c r="L119" s="14"/>
      <c r="M119" s="336"/>
      <c r="N119" s="337"/>
      <c r="O119" s="338"/>
      <c r="P119" s="148"/>
      <c r="Q119" s="29"/>
      <c r="R119" s="136"/>
      <c r="S119" s="139"/>
      <c r="T119" s="15"/>
      <c r="U119" s="342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3"/>
      <c r="E120" s="334"/>
      <c r="F120" s="335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2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2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2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2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2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2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2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2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06/04/23)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2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2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2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2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2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2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2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2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2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2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2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2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2"/>
      <c r="W140" s="206">
        <f>Admin!B140</f>
        <v>45160</v>
      </c>
    </row>
    <row r="141" spans="1:23" ht="22.5" customHeight="1" thickBot="1" x14ac:dyDescent="0.2">
      <c r="A141" s="343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2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1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381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">
        <v>105</v>
      </c>
      <c r="I3" s="366" t="s">
        <v>43</v>
      </c>
      <c r="J3" s="366" t="s">
        <v>44</v>
      </c>
      <c r="K3" s="383" t="s">
        <v>48</v>
      </c>
      <c r="L3" s="383" t="s">
        <v>31</v>
      </c>
      <c r="M3" s="372" t="s">
        <v>46</v>
      </c>
      <c r="N3" s="366" t="s">
        <v>1</v>
      </c>
      <c r="O3" s="374" t="s">
        <v>26</v>
      </c>
      <c r="P3" s="366" t="s">
        <v>106</v>
      </c>
      <c r="Q3" s="374" t="s">
        <v>2</v>
      </c>
      <c r="R3" s="372" t="s">
        <v>47</v>
      </c>
      <c r="S3" s="42"/>
      <c r="T3" s="374" t="s">
        <v>27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7"/>
      <c r="J4" s="367"/>
      <c r="K4" s="384"/>
      <c r="L4" s="384"/>
      <c r="M4" s="373"/>
      <c r="N4" s="369"/>
      <c r="O4" s="375"/>
      <c r="P4" s="369"/>
      <c r="Q4" s="375"/>
      <c r="R4" s="373"/>
      <c r="S4" s="42"/>
      <c r="T4" s="375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7"/>
      <c r="J5" s="367"/>
      <c r="K5" s="384"/>
      <c r="L5" s="384"/>
      <c r="M5" s="373"/>
      <c r="N5" s="369"/>
      <c r="O5" s="375"/>
      <c r="P5" s="369"/>
      <c r="Q5" s="375"/>
      <c r="R5" s="373"/>
      <c r="S5" s="42"/>
      <c r="T5" s="375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68"/>
      <c r="J6" s="368"/>
      <c r="K6" s="385"/>
      <c r="L6" s="385"/>
      <c r="M6" s="373"/>
      <c r="N6" s="370"/>
      <c r="O6" s="375"/>
      <c r="P6" s="370"/>
      <c r="Q6" s="375"/>
      <c r="R6" s="373"/>
      <c r="S6" s="41"/>
      <c r="T6" s="375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377"/>
      <c r="S8" s="378"/>
      <c r="T8" s="378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</v>
      </c>
      <c r="F9" s="35"/>
      <c r="G9" s="35"/>
      <c r="H9" s="361" t="s">
        <v>57</v>
      </c>
      <c r="I9" s="362"/>
      <c r="J9" s="360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80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</v>
      </c>
      <c r="F19" s="35"/>
      <c r="G19" s="35"/>
      <c r="H19" s="361" t="s">
        <v>28</v>
      </c>
      <c r="I19" s="362"/>
      <c r="J19" s="360"/>
      <c r="K19" s="201">
        <f>M9+1</f>
        <v>45026</v>
      </c>
      <c r="L19" s="200" t="s">
        <v>76</v>
      </c>
      <c r="M19" s="202">
        <f>K19+6</f>
        <v>45032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</v>
      </c>
      <c r="F29" s="35"/>
      <c r="G29" s="35"/>
      <c r="H29" s="361" t="s">
        <v>28</v>
      </c>
      <c r="I29" s="362"/>
      <c r="J29" s="360"/>
      <c r="K29" s="201">
        <f>M19+1</f>
        <v>45033</v>
      </c>
      <c r="L29" s="200" t="s">
        <v>76</v>
      </c>
      <c r="M29" s="202">
        <f>K29+6</f>
        <v>45039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4</v>
      </c>
      <c r="F39" s="35"/>
      <c r="G39" s="35"/>
      <c r="H39" s="361" t="s">
        <v>28</v>
      </c>
      <c r="I39" s="362"/>
      <c r="J39" s="360"/>
      <c r="K39" s="201">
        <f>M29+1</f>
        <v>45040</v>
      </c>
      <c r="L39" s="200" t="s">
        <v>76</v>
      </c>
      <c r="M39" s="202">
        <f>K39+6</f>
        <v>45046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</v>
      </c>
      <c r="F49" s="35"/>
      <c r="G49" s="35"/>
      <c r="H49" s="361" t="s">
        <v>28</v>
      </c>
      <c r="I49" s="362"/>
      <c r="J49" s="360"/>
      <c r="K49" s="204">
        <f>Admin!B2</f>
        <v>45022</v>
      </c>
      <c r="L49" s="203" t="s">
        <v>76</v>
      </c>
      <c r="M49" s="205">
        <f>Admin!B26</f>
        <v>45046</v>
      </c>
      <c r="N49" s="20"/>
      <c r="O49" s="402" t="s">
        <v>49</v>
      </c>
      <c r="P49" s="403"/>
      <c r="Q49" s="403"/>
      <c r="R49" s="404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5</v>
      </c>
      <c r="F9" s="35"/>
      <c r="G9" s="35"/>
      <c r="H9" s="361" t="s">
        <v>28</v>
      </c>
      <c r="I9" s="362"/>
      <c r="J9" s="360"/>
      <c r="K9" s="204">
        <f>'Apr23'!M39+1</f>
        <v>45047</v>
      </c>
      <c r="L9" s="203" t="s">
        <v>76</v>
      </c>
      <c r="M9" s="205">
        <f>K9+6</f>
        <v>45053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IF(T$9="Y",'Apr23'!H41,0)</f>
        <v>0</v>
      </c>
      <c r="I11" s="89">
        <f>IF(T$9="Y",'Apr23'!I41,0)</f>
        <v>0</v>
      </c>
      <c r="J11" s="89">
        <f>IF(T$9="Y",'Apr23'!J41,0)</f>
        <v>0</v>
      </c>
      <c r="K11" s="89">
        <f>IF(T$9="Y",'Apr23'!K41,I11*J11)</f>
        <v>0</v>
      </c>
      <c r="L11" s="110">
        <f>IF(T$9="Y",'Apr23'!L41,0)</f>
        <v>0</v>
      </c>
      <c r="M11" s="110" t="str">
        <f>IF(E11=" "," ",IF(T$9="Y",'Apr23'!M41,IF((H11+K11+L11)&gt;0,H11+K11+L11,"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IF(Employee!H$34=E$9,Employee!D$34+SUM(M11)+'Apr23'!V41,SUM(M11)+'Apr23'!V41)</f>
        <v>0</v>
      </c>
      <c r="W11" s="49">
        <f>IF(Employee!H$34=E$9,Employee!D$35+SUM(N11)+'Apr23'!W41,SUM(N11)+'Apr23'!W41)</f>
        <v>0</v>
      </c>
      <c r="X11" s="49">
        <f>IF(O11=" ",'Apr23'!X41,O11+'Apr23'!X41)</f>
        <v>0</v>
      </c>
      <c r="Y11" s="49">
        <f>IF(P11=" ",'Apr23'!Y41,P11+'Apr23'!Y41)</f>
        <v>0</v>
      </c>
      <c r="Z11" s="49">
        <f>IF(Q11=" ",'Apr23'!Z41,Q11+'Apr23'!Z41)</f>
        <v>0</v>
      </c>
      <c r="AA11" s="49">
        <f>IF(R11=" ",'Apr23'!AA41,R11+'Apr23'!AA41)</f>
        <v>0</v>
      </c>
      <c r="AC11" s="49">
        <f>IF(T11=" ",'Apr23'!AC41,T11+'Apr23'!AC41)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IF(T$9="Y",'Apr23'!H42,0)</f>
        <v>0</v>
      </c>
      <c r="I12" s="92">
        <f>IF(T$9="Y",'Apr23'!I42,0)</f>
        <v>0</v>
      </c>
      <c r="J12" s="92">
        <f>IF(T$9="Y",'Apr23'!J42,0)</f>
        <v>0</v>
      </c>
      <c r="K12" s="92">
        <f>IF(T$9="Y",'Apr23'!K42,I12*J12)</f>
        <v>0</v>
      </c>
      <c r="L12" s="111">
        <f>IF(T$9="Y",'Apr23'!L42,0)</f>
        <v>0</v>
      </c>
      <c r="M12" s="111" t="str">
        <f>IF(E12=" "," ",IF(T$9="Y",'Apr23'!M42,IF((H12+K12+L12)&gt;0,H12+K12+L12,"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IF(Employee!H$60=E$9,Employee!D$60+SUM(M12)+'Apr23'!V42,SUM(M12)+'Apr23'!V42)</f>
        <v>0</v>
      </c>
      <c r="W12" s="49">
        <f>IF(Employee!H$60=E$9,Employee!D$61+SUM(N12)+'Apr23'!W42,SUM(N12)+'Apr23'!W42)</f>
        <v>0</v>
      </c>
      <c r="X12" s="49">
        <f>IF(O12=" ",'Apr23'!X42,O12+'Apr23'!X42)</f>
        <v>0</v>
      </c>
      <c r="Y12" s="49">
        <f>IF(P12=" ",'Apr23'!Y42,P12+'Apr23'!Y42)</f>
        <v>0</v>
      </c>
      <c r="Z12" s="49">
        <f>IF(Q12=" ",'Apr23'!Z42,Q12+'Apr23'!Z42)</f>
        <v>0</v>
      </c>
      <c r="AA12" s="49">
        <f>IF(R12=" ",'Apr23'!AA42,R12+'Apr23'!AA42)</f>
        <v>0</v>
      </c>
      <c r="AC12" s="49">
        <f>IF(T12=" ",'Apr23'!AC42,T12+'Apr23'!AC42)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IF(T$9="Y",'Apr23'!H43,0)</f>
        <v>0</v>
      </c>
      <c r="I13" s="92">
        <f>IF(T$9="Y",'Apr23'!I43,0)</f>
        <v>0</v>
      </c>
      <c r="J13" s="92">
        <f>IF(T$9="Y",'Apr23'!J43,0)</f>
        <v>0</v>
      </c>
      <c r="K13" s="92">
        <f>IF(T$9="Y",'Apr23'!K43,I13*J13)</f>
        <v>0</v>
      </c>
      <c r="L13" s="111">
        <f>IF(T$9="Y",'Apr23'!L43,0)</f>
        <v>0</v>
      </c>
      <c r="M13" s="111" t="str">
        <f>IF(E13=" "," ",IF(T$9="Y",'Apr23'!M43,IF((H13+K13+L13)&gt;0,H13+K13+L13,"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IF(Employee!H$86=E$9,Employee!D$86+SUM(M13)+'Apr23'!V43,SUM(M13)+'Apr23'!V43)</f>
        <v>0</v>
      </c>
      <c r="W13" s="49">
        <f>IF(Employee!H$86=E$9,Employee!D$87+SUM(N13)+'Apr23'!W43,SUM(N13)+'Apr23'!W43)</f>
        <v>0</v>
      </c>
      <c r="X13" s="49">
        <f>IF(O13=" ",'Apr23'!X43,O13+'Apr23'!X43)</f>
        <v>0</v>
      </c>
      <c r="Y13" s="49">
        <f>IF(P13=" ",'Apr23'!Y43,P13+'Apr23'!Y43)</f>
        <v>0</v>
      </c>
      <c r="Z13" s="49">
        <f>IF(Q13=" ",'Apr23'!Z43,Q13+'Apr23'!Z43)</f>
        <v>0</v>
      </c>
      <c r="AA13" s="49">
        <f>IF(R13=" ",'Apr23'!AA43,R13+'Apr23'!AA43)</f>
        <v>0</v>
      </c>
      <c r="AC13" s="49">
        <f>IF(T13=" ",'Apr23'!AC43,T13+'Apr23'!AC43)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IF(T$9="Y",'Apr23'!H44,0)</f>
        <v>0</v>
      </c>
      <c r="I14" s="92">
        <f>IF(T$9="Y",'Apr23'!I44,0)</f>
        <v>0</v>
      </c>
      <c r="J14" s="92">
        <f>IF(T$9="Y",'Apr23'!J44,0)</f>
        <v>0</v>
      </c>
      <c r="K14" s="92">
        <f>IF(T$9="Y",'Apr23'!K44,I14*J14)</f>
        <v>0</v>
      </c>
      <c r="L14" s="111">
        <f>IF(T$9="Y",'Apr23'!L44,0)</f>
        <v>0</v>
      </c>
      <c r="M14" s="111" t="str">
        <f>IF(E14=" "," ",IF(T$9="Y",'Apr23'!M44,IF((H14+K14+L14)&gt;0,H14+K14+L14,"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IF(Employee!H$112=E$9,Employee!D$112+SUM(M14)+'Apr23'!V44,SUM(M14)+'Apr23'!V44)</f>
        <v>0</v>
      </c>
      <c r="W14" s="49">
        <f>IF(Employee!H$112=E$9,Employee!D$113+SUM(N14)+'Apr23'!W44,SUM(N14)+'Apr23'!W44)</f>
        <v>0</v>
      </c>
      <c r="X14" s="49">
        <f>IF(O14=" ",'Apr23'!X44,O14+'Apr23'!X44)</f>
        <v>0</v>
      </c>
      <c r="Y14" s="49">
        <f>IF(P14=" ",'Apr23'!Y44,P14+'Apr23'!Y44)</f>
        <v>0</v>
      </c>
      <c r="Z14" s="49">
        <f>IF(Q14=" ",'Apr23'!Z44,Q14+'Apr23'!Z44)</f>
        <v>0</v>
      </c>
      <c r="AA14" s="49">
        <f>IF(R14=" ",'Apr23'!AA44,R14+'Apr23'!AA44)</f>
        <v>0</v>
      </c>
      <c r="AC14" s="49">
        <f>IF(T14=" ",'Apr23'!AC44,T14+'Apr23'!AC44)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IF(T$9="Y",'Apr23'!H45,0)</f>
        <v>0</v>
      </c>
      <c r="I15" s="245">
        <f>IF(T$9="Y",'Apr23'!I45,0)</f>
        <v>0</v>
      </c>
      <c r="J15" s="245">
        <f>IF(T$9="Y",'Apr23'!J45,0)</f>
        <v>0</v>
      </c>
      <c r="K15" s="245">
        <f>IF(T$9="Y",'Apr23'!K45,I15*J15)</f>
        <v>0</v>
      </c>
      <c r="L15" s="246">
        <f>IF(T$9="Y",'Apr23'!L45,0)</f>
        <v>0</v>
      </c>
      <c r="M15" s="111" t="str">
        <f>IF(E15=" "," ",IF(T$9="Y",'Apr23'!M45,IF((H15+K15+L15)&gt;0,H15+K15+L15,"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IF(Employee!H$138=E$9,Employee!D$138+SUM(M15)+'Apr23'!V45,SUM(M15)+'Apr23'!V45)</f>
        <v>0</v>
      </c>
      <c r="W15" s="49">
        <f>IF(Employee!H$138=E$9,Employee!D$139+SUM(N15)+'Apr23'!W45,SUM(N15)+'Apr23'!W45)</f>
        <v>0</v>
      </c>
      <c r="X15" s="49">
        <f>IF(O15=" ",'Apr23'!X45,O15+'Apr23'!X45)</f>
        <v>0</v>
      </c>
      <c r="Y15" s="49">
        <f>IF(P15=" ",'Apr23'!Y45,P15+'Apr23'!Y45)</f>
        <v>0</v>
      </c>
      <c r="Z15" s="49">
        <f>IF(Q15=" ",'Apr23'!Z45,Q15+'Apr23'!Z45)</f>
        <v>0</v>
      </c>
      <c r="AA15" s="49">
        <f>IF(R15=" ",'Apr23'!AA45,R15+'Apr23'!AA45)</f>
        <v>0</v>
      </c>
      <c r="AC15" s="49">
        <f>IF(T15=" ",'Apr23'!AC45,T15+'Apr23'!AC45)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6</v>
      </c>
      <c r="F19" s="35"/>
      <c r="G19" s="35"/>
      <c r="H19" s="361" t="s">
        <v>28</v>
      </c>
      <c r="I19" s="362"/>
      <c r="J19" s="360"/>
      <c r="K19" s="204">
        <f>M9+1</f>
        <v>45054</v>
      </c>
      <c r="L19" s="203" t="s">
        <v>76</v>
      </c>
      <c r="M19" s="205">
        <f>K19+6</f>
        <v>45060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7</v>
      </c>
      <c r="F29" s="35"/>
      <c r="G29" s="35"/>
      <c r="H29" s="361" t="s">
        <v>28</v>
      </c>
      <c r="I29" s="362"/>
      <c r="J29" s="360"/>
      <c r="K29" s="204">
        <f>M19+1</f>
        <v>45061</v>
      </c>
      <c r="L29" s="203" t="s">
        <v>76</v>
      </c>
      <c r="M29" s="205">
        <f>K29+6</f>
        <v>45067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8</v>
      </c>
      <c r="F39" s="35"/>
      <c r="G39" s="35"/>
      <c r="H39" s="361" t="s">
        <v>28</v>
      </c>
      <c r="I39" s="362"/>
      <c r="J39" s="360"/>
      <c r="K39" s="204">
        <f>M29+1</f>
        <v>45068</v>
      </c>
      <c r="L39" s="203" t="s">
        <v>76</v>
      </c>
      <c r="M39" s="205">
        <f>K39+6</f>
        <v>45074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2</v>
      </c>
      <c r="F49" s="35"/>
      <c r="G49" s="35"/>
      <c r="H49" s="361" t="s">
        <v>28</v>
      </c>
      <c r="I49" s="362"/>
      <c r="J49" s="360"/>
      <c r="K49" s="204">
        <f>Admin!B27</f>
        <v>45047</v>
      </c>
      <c r="L49" s="203" t="s">
        <v>76</v>
      </c>
      <c r="M49" s="205">
        <f>Admin!B57</f>
        <v>45077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IF(T$49="Y",'Apr23'!H51,0)</f>
        <v>0</v>
      </c>
      <c r="I51" s="89">
        <f>IF(T$49="Y",'Apr23'!I51,0)</f>
        <v>0</v>
      </c>
      <c r="J51" s="89">
        <f>IF(T$49="Y",'Apr23'!J51,0)</f>
        <v>0</v>
      </c>
      <c r="K51" s="89">
        <f>IF(T$49="Y",'Apr23'!K51,I51*J51)</f>
        <v>0</v>
      </c>
      <c r="L51" s="110">
        <f>IF(T$49="Y",'Apr23'!L51,0)</f>
        <v>0</v>
      </c>
      <c r="M51" s="99" t="str">
        <f>IF(E51=" "," ",IF(T$49="Y",'Apr23'!M51,IF((H51+K51+L51)&gt;0,H51+K51+L51,"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IF(Employee!H$35=E$49,Employee!D$34+SUM(M51)+'Apr23'!V51,SUM(M51)+'Apr23'!V51)</f>
        <v>0</v>
      </c>
      <c r="W51" s="49">
        <f>IF(Employee!H$35=E$49,Employee!D$35+SUM(N51)+'Apr23'!W51,SUM(N51)+'Apr23'!W51)</f>
        <v>0</v>
      </c>
      <c r="X51" s="49">
        <f>IF(O51=" ",'Apr23'!X51,O51+'Apr23'!X51)</f>
        <v>0</v>
      </c>
      <c r="Y51" s="49">
        <f>IF(P51=" ",'Apr23'!Y51,P51+'Apr23'!Y51)</f>
        <v>0</v>
      </c>
      <c r="Z51" s="49">
        <f>IF(Q51=" ",'Apr23'!Z51,Q51+'Apr23'!Z51)</f>
        <v>0</v>
      </c>
      <c r="AA51" s="49">
        <f>IF(R51=" ",'Apr23'!AA51,R51+'Apr23'!AA51)</f>
        <v>0</v>
      </c>
      <c r="AC51" s="49">
        <f>IF(T51=" ",'Apr23'!AC51,T51+'Apr23'!AC51)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IF(T$49="Y",'Apr23'!H52,0)</f>
        <v>0</v>
      </c>
      <c r="I52" s="92">
        <f>IF(T$49="Y",'Apr23'!I52,0)</f>
        <v>0</v>
      </c>
      <c r="J52" s="92">
        <f>IF(T$49="Y",'Apr23'!J52,0)</f>
        <v>0</v>
      </c>
      <c r="K52" s="92">
        <f>IF(T$49="Y",'Apr23'!K52,I52*J52)</f>
        <v>0</v>
      </c>
      <c r="L52" s="111">
        <f>IF(T$49="Y",'Apr23'!L52,0)</f>
        <v>0</v>
      </c>
      <c r="M52" s="100" t="str">
        <f>IF(E52=" "," ",IF(T$49="Y",'Apr23'!M52,IF((H52+K52+L52)&gt;0,H52+K52+L52,"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IF(Employee!H$61=E$49,Employee!D$60+SUM(M52)+'Apr23'!V52,SUM(M52)+'Apr23'!V52)</f>
        <v>0</v>
      </c>
      <c r="W52" s="49">
        <f>IF(Employee!H$61=E$49,Employee!D$61+SUM(N52)+'Apr23'!W52,SUM(N52)+'Apr23'!W52)</f>
        <v>0</v>
      </c>
      <c r="X52" s="49">
        <f>IF(O52=" ",'Apr23'!X52,O52+'Apr23'!X52)</f>
        <v>0</v>
      </c>
      <c r="Y52" s="49">
        <f>IF(P52=" ",'Apr23'!Y52,P52+'Apr23'!Y52)</f>
        <v>0</v>
      </c>
      <c r="Z52" s="49">
        <f>IF(Q52=" ",'Apr23'!Z52,Q52+'Apr23'!Z52)</f>
        <v>0</v>
      </c>
      <c r="AA52" s="49">
        <f>IF(R52=" ",'Apr23'!AA52,R52+'Apr23'!AA52)</f>
        <v>0</v>
      </c>
      <c r="AC52" s="49">
        <f>IF(T52=" ",'Apr23'!AC52,T52+'Apr23'!AC52)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IF(T$49="Y",'Apr23'!H53,0)</f>
        <v>0</v>
      </c>
      <c r="I53" s="92">
        <f>IF(T$49="Y",'Apr23'!I53,0)</f>
        <v>0</v>
      </c>
      <c r="J53" s="92">
        <f>IF(T$49="Y",'Apr23'!J53,0)</f>
        <v>0</v>
      </c>
      <c r="K53" s="92">
        <f>IF(T$49="Y",'Apr23'!K53,I53*J53)</f>
        <v>0</v>
      </c>
      <c r="L53" s="111">
        <f>IF(T$49="Y",'Apr23'!L53,0)</f>
        <v>0</v>
      </c>
      <c r="M53" s="100" t="str">
        <f>IF(E53=" "," ",IF(T$49="Y",'Apr23'!M53,IF((H53+K53+L53)&gt;0,H53+K53+L53,"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IF(Employee!H$87=E$49,Employee!D$86+SUM(M53)+'Apr23'!V53,SUM(M53)+'Apr23'!V53)</f>
        <v>0</v>
      </c>
      <c r="W53" s="49">
        <f>IF(Employee!H$87=E$49,Employee!D$7+SUM(N53)+'Apr23'!W53,SUM(N53)+'Apr23'!W53)</f>
        <v>0</v>
      </c>
      <c r="X53" s="49">
        <f>IF(O53=" ",'Apr23'!X53,O53+'Apr23'!X53)</f>
        <v>0</v>
      </c>
      <c r="Y53" s="49">
        <f>IF(P53=" ",'Apr23'!Y53,P53+'Apr23'!Y53)</f>
        <v>0</v>
      </c>
      <c r="Z53" s="49">
        <f>IF(Q53=" ",'Apr23'!Z53,Q53+'Apr23'!Z53)</f>
        <v>0</v>
      </c>
      <c r="AA53" s="49">
        <f>IF(R53=" ",'Apr23'!AA53,R53+'Apr23'!AA53)</f>
        <v>0</v>
      </c>
      <c r="AC53" s="49">
        <f>IF(T53=" ",'Apr23'!AC53,T53+'Apr23'!AC53)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IF(T$49="Y",'Apr23'!H54,0)</f>
        <v>0</v>
      </c>
      <c r="I54" s="92">
        <f>IF(T$49="Y",'Apr23'!I54,0)</f>
        <v>0</v>
      </c>
      <c r="J54" s="92">
        <f>IF(T$49="Y",'Apr23'!J54,0)</f>
        <v>0</v>
      </c>
      <c r="K54" s="92">
        <f>IF(T$49="Y",'Apr23'!K54,I54*J54)</f>
        <v>0</v>
      </c>
      <c r="L54" s="111">
        <f>IF(T$49="Y",'Apr23'!L54,0)</f>
        <v>0</v>
      </c>
      <c r="M54" s="100" t="str">
        <f>IF(E54=" "," ",IF(T$49="Y",'Apr23'!M54,IF((H54+K54+L54)&gt;0,H54+K54+L54,"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IF(Employee!H$113=E$49,Employee!D$112+SUM(M54)+'Apr23'!V54,SUM(M54)+'Apr23'!V54)</f>
        <v>0</v>
      </c>
      <c r="W54" s="49">
        <f>IF(Employee!H$113=E$49,Employee!D$113+SUM(N54)+'Apr23'!W54,SUM(N54)+'Apr23'!W54)</f>
        <v>0</v>
      </c>
      <c r="X54" s="49">
        <f>IF(O54=" ",'Apr23'!X54,O54+'Apr23'!X54)</f>
        <v>0</v>
      </c>
      <c r="Y54" s="49">
        <f>IF(P54=" ",'Apr23'!Y54,P54+'Apr23'!Y54)</f>
        <v>0</v>
      </c>
      <c r="Z54" s="49">
        <f>IF(Q54=" ",'Apr23'!Z54,Q54+'Apr23'!Z54)</f>
        <v>0</v>
      </c>
      <c r="AA54" s="49">
        <f>IF(R54=" ",'Apr23'!AA54,R54+'Apr23'!AA54)</f>
        <v>0</v>
      </c>
      <c r="AC54" s="49">
        <f>IF(T54=" ",'Apr23'!AC54,T54+'Apr23'!AC54)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IF(T$49="Y",'Apr23'!H55,0)</f>
        <v>0</v>
      </c>
      <c r="I55" s="245">
        <f>IF(T$49="Y",'Apr23'!I55,0)</f>
        <v>0</v>
      </c>
      <c r="J55" s="245">
        <f>IF(T$49="Y",'Apr23'!J55,0)</f>
        <v>0</v>
      </c>
      <c r="K55" s="245">
        <f>IF(T$49="Y",'Apr23'!K55,I55*J55)</f>
        <v>0</v>
      </c>
      <c r="L55" s="246">
        <f>IF(T$49="Y",'Apr23'!L55,0)</f>
        <v>0</v>
      </c>
      <c r="M55" s="100" t="str">
        <f>IF(E55=" "," ",IF(T$49="Y",'Apr23'!M55,IF((H55+K55+L55)&gt;0,H55+K55+L55,"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IF(Employee!H$139=E$49,Employee!D$138+SUM(M55)+'Apr23'!V55,SUM(M55)+'Apr23'!V55)</f>
        <v>0</v>
      </c>
      <c r="W55" s="49">
        <f>IF(Employee!H$139=E$49,Employee!D$139+SUM(N55)+'Apr23'!W55,SUM(N55)+'Apr23'!W55)</f>
        <v>0</v>
      </c>
      <c r="X55" s="49">
        <f>IF(O55=" ",'Apr23'!X55,O55+'Apr23'!X55)</f>
        <v>0</v>
      </c>
      <c r="Y55" s="49">
        <f>IF(P55=" ",'Apr23'!Y55,P55+'Apr23'!Y55)</f>
        <v>0</v>
      </c>
      <c r="Z55" s="49">
        <f>IF(Q55=" ",'Apr23'!Z55,Q55+'Apr23'!Z55)</f>
        <v>0</v>
      </c>
      <c r="AA55" s="49">
        <f>IF(R55=" ",'Apr23'!AA55,R55+'Apr23'!AA55)</f>
        <v>0</v>
      </c>
      <c r="AC55" s="49">
        <f>IF(T55=" ",'Apr23'!AC55,T55+'Apr23'!AC55)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AD60+'Apr23'!AD65</f>
        <v>0</v>
      </c>
      <c r="AE65" s="158">
        <f>AE60+'Apr23'!AE65</f>
        <v>0</v>
      </c>
      <c r="AF65" s="158">
        <f>AF60+'Apr23'!AF65</f>
        <v>0</v>
      </c>
      <c r="AG65" s="158">
        <f>AG60+'Apr23'!AG65</f>
        <v>0</v>
      </c>
    </row>
    <row r="66" spans="6:33" ht="14" thickTop="1" x14ac:dyDescent="0.15"/>
    <row r="67" spans="6:33" x14ac:dyDescent="0.15">
      <c r="AD67" s="162"/>
      <c r="AE67" s="158">
        <f>AE62+'Apr23'!AE67</f>
        <v>0</v>
      </c>
      <c r="AF67" s="158">
        <f>AF62+'Apr23'!AF67</f>
        <v>0</v>
      </c>
      <c r="AG67" s="158">
        <f>AG62+'Apr23'!AG67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3" t="s">
        <v>4</v>
      </c>
      <c r="J1" s="434"/>
      <c r="K1" s="434"/>
      <c r="L1" s="43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9</v>
      </c>
      <c r="F9" s="35"/>
      <c r="G9" s="35"/>
      <c r="H9" s="361" t="s">
        <v>28</v>
      </c>
      <c r="I9" s="362"/>
      <c r="J9" s="360"/>
      <c r="K9" s="204">
        <f>'May23'!M39+1</f>
        <v>45075</v>
      </c>
      <c r="L9" s="203" t="s">
        <v>76</v>
      </c>
      <c r="M9" s="205">
        <f>K9+6</f>
        <v>45081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IF(T$9="Y",'May23'!H41,0)</f>
        <v>0</v>
      </c>
      <c r="I11" s="89">
        <f>IF(T$9="Y",'May23'!I41,0)</f>
        <v>0</v>
      </c>
      <c r="J11" s="89">
        <f>IF(T$9="Y",'May23'!J41,0)</f>
        <v>0</v>
      </c>
      <c r="K11" s="89">
        <f>IF(T$9="Y",'May23'!K41,I11*J11)</f>
        <v>0</v>
      </c>
      <c r="L11" s="110">
        <f>IF(T$9="Y",'May23'!L41,0)</f>
        <v>0</v>
      </c>
      <c r="M11" s="110" t="str">
        <f>IF(E11=" "," ",IF(T$9="Y",'May23'!M41,IF((H11+K11+L11)&gt;0,H11+K11+L11,"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IF(Employee!H$34=E$9,Employee!D$34+SUM(M11)+'May23'!V41,SUM(M11)+'May23'!V41)</f>
        <v>0</v>
      </c>
      <c r="W11" s="49">
        <f>IF(Employee!H$34=E$9,Employee!D$35+SUM(N11)+'May23'!W41,SUM(N11)+'May23'!W41)</f>
        <v>0</v>
      </c>
      <c r="X11" s="49">
        <f>IF(O11=" ",'May23'!X41,O11+'May23'!X41)</f>
        <v>0</v>
      </c>
      <c r="Y11" s="49">
        <f>IF(P11=" ",'May23'!Y41,P11+'May23'!Y41)</f>
        <v>0</v>
      </c>
      <c r="Z11" s="49">
        <f>IF(Q11=" ",'May23'!Z41,Q11+'May23'!Z41)</f>
        <v>0</v>
      </c>
      <c r="AA11" s="49">
        <f>IF(R11=" ",'May23'!AA41,R11+'May23'!AA41)</f>
        <v>0</v>
      </c>
      <c r="AC11" s="49">
        <f>IF(T11=" ",'May23'!AC41,T11+'May23'!AC41)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IF(T$9="Y",'May23'!H42,0)</f>
        <v>0</v>
      </c>
      <c r="I12" s="92">
        <f>IF(T$9="Y",'May23'!I42,0)</f>
        <v>0</v>
      </c>
      <c r="J12" s="92">
        <f>IF(T$9="Y",'May23'!J42,0)</f>
        <v>0</v>
      </c>
      <c r="K12" s="92">
        <f>IF(T$9="Y",'May23'!K42,I12*J12)</f>
        <v>0</v>
      </c>
      <c r="L12" s="111">
        <f>IF(T$9="Y",'May23'!L42,0)</f>
        <v>0</v>
      </c>
      <c r="M12" s="111" t="str">
        <f>IF(E12=" "," ",IF(T$9="Y",'May23'!M42,IF((H12+K12+L12)&gt;0,H12+K12+L12,"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IF(Employee!H$60=E$9,Employee!D$60+SUM(M12)+'May23'!V42,SUM(M12)+'May23'!V42)</f>
        <v>0</v>
      </c>
      <c r="W12" s="49">
        <f>IF(Employee!H$60=E$9,Employee!D$61+SUM(N12)+'May23'!W42,SUM(N12)+'May23'!W42)</f>
        <v>0</v>
      </c>
      <c r="X12" s="49">
        <f>IF(O12=" ",'May23'!X42,O12+'May23'!X42)</f>
        <v>0</v>
      </c>
      <c r="Y12" s="49">
        <f>IF(P12=" ",'May23'!Y42,P12+'May23'!Y42)</f>
        <v>0</v>
      </c>
      <c r="Z12" s="49">
        <f>IF(Q12=" ",'May23'!Z42,Q12+'May23'!Z42)</f>
        <v>0</v>
      </c>
      <c r="AA12" s="49">
        <f>IF(R12=" ",'May23'!AA42,R12+'May23'!AA42)</f>
        <v>0</v>
      </c>
      <c r="AC12" s="49">
        <f>IF(T12=" ",'May23'!AC42,T12+'May23'!AC42)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IF(T$9="Y",'May23'!H43,0)</f>
        <v>0</v>
      </c>
      <c r="I13" s="92">
        <f>IF(T$9="Y",'May23'!I43,0)</f>
        <v>0</v>
      </c>
      <c r="J13" s="92">
        <f>IF(T$9="Y",'May23'!J43,0)</f>
        <v>0</v>
      </c>
      <c r="K13" s="92">
        <f>IF(T$9="Y",'May23'!K43,I13*J13)</f>
        <v>0</v>
      </c>
      <c r="L13" s="111">
        <f>IF(T$9="Y",'May23'!L43,0)</f>
        <v>0</v>
      </c>
      <c r="M13" s="111" t="str">
        <f>IF(E13=" "," ",IF(T$9="Y",'May23'!M43,IF((H13+K13+L13)&gt;0,H13+K13+L13,"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IF(Employee!H$86=E$9,Employee!D$86+SUM(M13)+'May23'!V43,SUM(M13)+'May23'!V43)</f>
        <v>0</v>
      </c>
      <c r="W13" s="49">
        <f>IF(Employee!H$86=E$9,Employee!D$87+SUM(N13)+'May23'!W43,SUM(N13)+'May23'!W43)</f>
        <v>0</v>
      </c>
      <c r="X13" s="49">
        <f>IF(O13=" ",'May23'!X43,O13+'May23'!X43)</f>
        <v>0</v>
      </c>
      <c r="Y13" s="49">
        <f>IF(P13=" ",'May23'!Y43,P13+'May23'!Y43)</f>
        <v>0</v>
      </c>
      <c r="Z13" s="49">
        <f>IF(Q13=" ",'May23'!Z43,Q13+'May23'!Z43)</f>
        <v>0</v>
      </c>
      <c r="AA13" s="49">
        <f>IF(R13=" ",'May23'!AA43,R13+'May23'!AA43)</f>
        <v>0</v>
      </c>
      <c r="AC13" s="49">
        <f>IF(T13=" ",'May23'!AC43,T13+'May23'!AC43)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IF(T$9="Y",'May23'!H44,0)</f>
        <v>0</v>
      </c>
      <c r="I14" s="92">
        <f>IF(T$9="Y",'May23'!I44,0)</f>
        <v>0</v>
      </c>
      <c r="J14" s="92">
        <f>IF(T$9="Y",'May23'!J44,0)</f>
        <v>0</v>
      </c>
      <c r="K14" s="92">
        <f>IF(T$9="Y",'May23'!K44,I14*J14)</f>
        <v>0</v>
      </c>
      <c r="L14" s="111">
        <f>IF(T$9="Y",'May23'!L44,0)</f>
        <v>0</v>
      </c>
      <c r="M14" s="111" t="str">
        <f>IF(E14=" "," ",IF(T$9="Y",'May23'!M44,IF((H14+K14+L14)&gt;0,H14+K14+L14,"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IF(Employee!H$112=E$9,Employee!D$112+SUM(M14)+'May23'!V44,SUM(M14)+'May23'!V44)</f>
        <v>0</v>
      </c>
      <c r="W14" s="49">
        <f>IF(Employee!H$112=E$9,Employee!D$113+SUM(N14)+'May23'!W44,SUM(N14)+'May23'!W44)</f>
        <v>0</v>
      </c>
      <c r="X14" s="49">
        <f>IF(O14=" ",'May23'!X44,O14+'May23'!X44)</f>
        <v>0</v>
      </c>
      <c r="Y14" s="49">
        <f>IF(P14=" ",'May23'!Y44,P14+'May23'!Y44)</f>
        <v>0</v>
      </c>
      <c r="Z14" s="49">
        <f>IF(Q14=" ",'May23'!Z44,Q14+'May23'!Z44)</f>
        <v>0</v>
      </c>
      <c r="AA14" s="49">
        <f>IF(R14=" ",'May23'!AA44,R14+'May23'!AA44)</f>
        <v>0</v>
      </c>
      <c r="AC14" s="49">
        <f>IF(T14=" ",'May23'!AC44,T14+'May23'!AC44)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IF(T$9="Y",'May23'!H45,0)</f>
        <v>0</v>
      </c>
      <c r="I15" s="245">
        <f>IF(T$9="Y",'May23'!I45,0)</f>
        <v>0</v>
      </c>
      <c r="J15" s="245">
        <f>IF(T$9="Y",'May23'!J45,0)</f>
        <v>0</v>
      </c>
      <c r="K15" s="245">
        <f>IF(T$9="Y",'May23'!K45,I15*J15)</f>
        <v>0</v>
      </c>
      <c r="L15" s="246">
        <f>IF(T$9="Y",'May23'!L45,0)</f>
        <v>0</v>
      </c>
      <c r="M15" s="111" t="str">
        <f>IF(E15=" "," ",IF(T$9="Y",'May23'!M45,IF((H15+K15+L15)&gt;0,H15+K15+L15,"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IF(Employee!H$138=E$9,Employee!D$138+SUM(M15)+'May23'!V45,SUM(M15)+'May23'!V45)</f>
        <v>0</v>
      </c>
      <c r="W15" s="49">
        <f>IF(Employee!H$138=E$9,Employee!D$139+SUM(N15)+'May23'!W45,SUM(N15)+'May23'!W45)</f>
        <v>0</v>
      </c>
      <c r="X15" s="49">
        <f>IF(O15=" ",'May23'!X45,O15+'May23'!X45)</f>
        <v>0</v>
      </c>
      <c r="Y15" s="49">
        <f>IF(P15=" ",'May23'!Y45,P15+'May23'!Y45)</f>
        <v>0</v>
      </c>
      <c r="Z15" s="49">
        <f>IF(Q15=" ",'May23'!Z45,Q15+'May23'!Z45)</f>
        <v>0</v>
      </c>
      <c r="AA15" s="49">
        <f>IF(R15=" ",'May23'!AA45,R15+'May23'!AA45)</f>
        <v>0</v>
      </c>
      <c r="AC15" s="49">
        <f>IF(T15=" ",'May23'!AC45,T15+'May23'!AC45)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10</v>
      </c>
      <c r="F19" s="35"/>
      <c r="G19" s="35"/>
      <c r="H19" s="361" t="s">
        <v>28</v>
      </c>
      <c r="I19" s="362"/>
      <c r="J19" s="360"/>
      <c r="K19" s="204">
        <f>M9+1</f>
        <v>45082</v>
      </c>
      <c r="L19" s="203" t="s">
        <v>76</v>
      </c>
      <c r="M19" s="205">
        <f>K19+6</f>
        <v>45088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11</v>
      </c>
      <c r="F29" s="35"/>
      <c r="G29" s="35"/>
      <c r="H29" s="361" t="s">
        <v>28</v>
      </c>
      <c r="I29" s="362"/>
      <c r="J29" s="360"/>
      <c r="K29" s="204">
        <f>M19+1</f>
        <v>45089</v>
      </c>
      <c r="L29" s="203" t="s">
        <v>76</v>
      </c>
      <c r="M29" s="205">
        <f>K29+6</f>
        <v>45095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12</v>
      </c>
      <c r="F39" s="35"/>
      <c r="G39" s="35"/>
      <c r="H39" s="361" t="s">
        <v>28</v>
      </c>
      <c r="I39" s="440"/>
      <c r="J39" s="441"/>
      <c r="K39" s="204">
        <f>M29+1</f>
        <v>45096</v>
      </c>
      <c r="L39" s="203" t="s">
        <v>76</v>
      </c>
      <c r="M39" s="205">
        <f>K39+6</f>
        <v>45102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1" t="s">
        <v>9</v>
      </c>
      <c r="C49" s="440"/>
      <c r="D49" s="441"/>
      <c r="E49" s="156">
        <v>13</v>
      </c>
      <c r="F49" s="35"/>
      <c r="G49" s="35"/>
      <c r="H49" s="361" t="s">
        <v>28</v>
      </c>
      <c r="I49" s="440"/>
      <c r="J49" s="441"/>
      <c r="K49" s="204">
        <f>M39+1</f>
        <v>45103</v>
      </c>
      <c r="L49" s="203" t="s">
        <v>76</v>
      </c>
      <c r="M49" s="205">
        <f>K49+6</f>
        <v>45109</v>
      </c>
      <c r="N49" s="20"/>
      <c r="O49" s="402" t="s">
        <v>63</v>
      </c>
      <c r="P49" s="442"/>
      <c r="Q49" s="442"/>
      <c r="R49" s="443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3</v>
      </c>
      <c r="F59" s="35"/>
      <c r="G59" s="35"/>
      <c r="H59" s="361" t="s">
        <v>28</v>
      </c>
      <c r="I59" s="362"/>
      <c r="J59" s="360"/>
      <c r="K59" s="204">
        <f>Admin!B58</f>
        <v>45078</v>
      </c>
      <c r="L59" s="203" t="s">
        <v>76</v>
      </c>
      <c r="M59" s="205">
        <f>Admin!B87</f>
        <v>45107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IF(T$59="Y",'May23'!H51,0)</f>
        <v>0</v>
      </c>
      <c r="I61" s="89">
        <f>IF(T$59="Y",'May23'!I51,0)</f>
        <v>0</v>
      </c>
      <c r="J61" s="89">
        <f>IF(T$59="Y",'May23'!J51,0)</f>
        <v>0</v>
      </c>
      <c r="K61" s="89">
        <f>IF(T$59="Y",'May23'!K51,I61*J61)</f>
        <v>0</v>
      </c>
      <c r="L61" s="110">
        <f>IF(T$59="Y",'May23'!L51,0)</f>
        <v>0</v>
      </c>
      <c r="M61" s="99" t="str">
        <f>IF(E61=" "," ",IF(T$59="Y",'May23'!M51,IF((H61+K61+L61)&gt;0,H61+K61+L61,"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IF(Employee!H$35=E$59,Employee!D$34+SUM(M61)+'May23'!V51,SUM(M61)+'May23'!V51)</f>
        <v>0</v>
      </c>
      <c r="W61" s="49">
        <f>IF(Employee!H$35=E$59,Employee!D$35+SUM(N61)+'May23'!W51,SUM(N61)+'May23'!W51)</f>
        <v>0</v>
      </c>
      <c r="X61" s="49">
        <f>IF(O61=" ",'May23'!X51,O61+'May23'!X51)</f>
        <v>0</v>
      </c>
      <c r="Y61" s="49">
        <f>IF(P61=" ",'May23'!Y51,P61+'May23'!Y51)</f>
        <v>0</v>
      </c>
      <c r="Z61" s="49">
        <f>IF(Q61=" ",'May23'!Z51,Q61+'May23'!Z51)</f>
        <v>0</v>
      </c>
      <c r="AA61" s="49">
        <f>IF(R61=" ",'May23'!AA51,R61+'May23'!AA51)</f>
        <v>0</v>
      </c>
      <c r="AC61" s="49">
        <f>IF(T61=" ",'May23'!AC51,T61+'May23'!AC51)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IF(T$59="Y",'May23'!H52,0)</f>
        <v>0</v>
      </c>
      <c r="I62" s="92">
        <f>IF(T$59="Y",'May23'!I52,0)</f>
        <v>0</v>
      </c>
      <c r="J62" s="92">
        <f>IF(T$59="Y",'May23'!J52,0)</f>
        <v>0</v>
      </c>
      <c r="K62" s="92">
        <f>IF(T$59="Y",'May23'!K52,I62*J62)</f>
        <v>0</v>
      </c>
      <c r="L62" s="111">
        <f>IF(T$59="Y",'May23'!L52,0)</f>
        <v>0</v>
      </c>
      <c r="M62" s="100" t="str">
        <f>IF(E62=" "," ",IF(T$59="Y",'May23'!M52,IF((H62+K62+L62)&gt;0,H62+K62+L62,"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IF(Employee!H$61=E$59,Employee!D$60+SUM(M62)+'May23'!V52,SUM(M62)+'May23'!V52)</f>
        <v>0</v>
      </c>
      <c r="W62" s="49">
        <f>IF(Employee!H$61=E$59,Employee!D$61+SUM(N62)+'May23'!W52,SUM(N62)+'May23'!W52)</f>
        <v>0</v>
      </c>
      <c r="X62" s="49">
        <f>IF(O62=" ",'May23'!X52,O62+'May23'!X52)</f>
        <v>0</v>
      </c>
      <c r="Y62" s="49">
        <f>IF(P62=" ",'May23'!Y52,P62+'May23'!Y52)</f>
        <v>0</v>
      </c>
      <c r="Z62" s="49">
        <f>IF(Q62=" ",'May23'!Z52,Q62+'May23'!Z52)</f>
        <v>0</v>
      </c>
      <c r="AA62" s="49">
        <f>IF(R62=" ",'May23'!AA52,R62+'May23'!AA52)</f>
        <v>0</v>
      </c>
      <c r="AC62" s="49">
        <f>IF(T62=" ",'May23'!AC52,T62+'May23'!AC52)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IF(T$59="Y",'May23'!H53,0)</f>
        <v>0</v>
      </c>
      <c r="I63" s="92">
        <f>IF(T$59="Y",'May23'!I53,0)</f>
        <v>0</v>
      </c>
      <c r="J63" s="92">
        <f>IF(T$59="Y",'May23'!J53,0)</f>
        <v>0</v>
      </c>
      <c r="K63" s="92">
        <f>IF(T$59="Y",'May23'!K53,I63*J63)</f>
        <v>0</v>
      </c>
      <c r="L63" s="111">
        <f>IF(T$59="Y",'May23'!L53,0)</f>
        <v>0</v>
      </c>
      <c r="M63" s="100" t="str">
        <f>IF(E63=" "," ",IF(T$59="Y",'May23'!M53,IF((H63+K63+L63)&gt;0,H63+K63+L63,"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IF(Employee!H$87=E$59,Employee!D$86+SUM(M63)+'May23'!V53,SUM(M63)+'May23'!V53)</f>
        <v>0</v>
      </c>
      <c r="W63" s="49">
        <f>IF(Employee!H$87=E$59,Employee!D$87+SUM(N63)+'May23'!W53,SUM(N63)+'May23'!W53)</f>
        <v>0</v>
      </c>
      <c r="X63" s="49">
        <f>IF(O63=" ",'May23'!X53,O63+'May23'!X53)</f>
        <v>0</v>
      </c>
      <c r="Y63" s="49">
        <f>IF(P63=" ",'May23'!Y53,P63+'May23'!Y53)</f>
        <v>0</v>
      </c>
      <c r="Z63" s="49">
        <f>IF(Q63=" ",'May23'!Z53,Q63+'May23'!Z53)</f>
        <v>0</v>
      </c>
      <c r="AA63" s="49">
        <f>IF(R63=" ",'May23'!AA53,R63+'May23'!AA53)</f>
        <v>0</v>
      </c>
      <c r="AC63" s="49">
        <f>IF(T63=" ",'May23'!AC53,T63+'May23'!AC53)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IF(T$59="Y",'May23'!H54,0)</f>
        <v>0</v>
      </c>
      <c r="I64" s="92">
        <f>IF(T$59="Y",'May23'!I54,0)</f>
        <v>0</v>
      </c>
      <c r="J64" s="92">
        <f>IF(T$59="Y",'May23'!J54,0)</f>
        <v>0</v>
      </c>
      <c r="K64" s="92">
        <f>IF(T$59="Y",'May23'!K54,I64*J64)</f>
        <v>0</v>
      </c>
      <c r="L64" s="111">
        <f>IF(T$59="Y",'May23'!L54,0)</f>
        <v>0</v>
      </c>
      <c r="M64" s="100" t="str">
        <f>IF(E64=" "," ",IF(T$59="Y",'May23'!M54,IF((H64+K64+L64)&gt;0,H64+K64+L64,"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IF(Employee!H$113=E$59,Employee!D$112+SUM(M64)+'May23'!V54,SUM(M64)+'May23'!V54)</f>
        <v>0</v>
      </c>
      <c r="W64" s="49">
        <f>IF(Employee!H$113=E$59,Employee!D$113+SUM(N64)+'May23'!W54,SUM(N64)+'May23'!W54)</f>
        <v>0</v>
      </c>
      <c r="X64" s="49">
        <f>IF(O64=" ",'May23'!X54,O64+'May23'!X54)</f>
        <v>0</v>
      </c>
      <c r="Y64" s="49">
        <f>IF(P64=" ",'May23'!Y54,P64+'May23'!Y54)</f>
        <v>0</v>
      </c>
      <c r="Z64" s="49">
        <f>IF(Q64=" ",'May23'!Z54,Q64+'May23'!Z54)</f>
        <v>0</v>
      </c>
      <c r="AA64" s="49">
        <f>IF(R64=" ",'May23'!AA54,R64+'May23'!AA54)</f>
        <v>0</v>
      </c>
      <c r="AC64" s="49">
        <f>IF(T64=" ",'May23'!AC54,T64+'May23'!AC54)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IF(T$59="Y",'May23'!H55,0)</f>
        <v>0</v>
      </c>
      <c r="I65" s="245">
        <f>IF(T$59="Y",'May23'!I55,0)</f>
        <v>0</v>
      </c>
      <c r="J65" s="245">
        <f>IF(T$59="Y",'May23'!J55,0)</f>
        <v>0</v>
      </c>
      <c r="K65" s="245">
        <f>IF(T$59="Y",'May23'!K55,I65*J65)</f>
        <v>0</v>
      </c>
      <c r="L65" s="246">
        <f>IF(T$59="Y",'May23'!L55,0)</f>
        <v>0</v>
      </c>
      <c r="M65" s="100" t="str">
        <f>IF(E65=" "," ",IF(T$59="Y",'May23'!M55,IF((H65+K65+L65)&gt;0,H65+K65+L65,"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IF(Employee!H$139=E$59,Employee!D$138+SUM(M65)+'May23'!V55,SUM(M65)+'May23'!V55)</f>
        <v>0</v>
      </c>
      <c r="W65" s="49">
        <f>IF(Employee!H$139=E$59,Employee!D$139+SUM(N65)+'May23'!W55,SUM(N65)+'May23'!W55)</f>
        <v>0</v>
      </c>
      <c r="X65" s="49">
        <f>IF(O65=" ",'May23'!X55,O65+'May23'!X55)</f>
        <v>0</v>
      </c>
      <c r="Y65" s="49">
        <f>IF(P65=" ",'May23'!Y55,P65+'May23'!Y55)</f>
        <v>0</v>
      </c>
      <c r="Z65" s="49">
        <f>IF(Q65=" ",'May23'!Z55,Q65+'May23'!Z55)</f>
        <v>0</v>
      </c>
      <c r="AA65" s="49">
        <f>IF(R65=" ",'May23'!AA55,R65+'May23'!AA55)</f>
        <v>0</v>
      </c>
      <c r="AC65" s="49">
        <f>IF(T65=" ",'May23'!AC55,T65+'May23'!AC55)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AD70+'May23'!AD65</f>
        <v>0</v>
      </c>
      <c r="AE75" s="158">
        <f>AE70+'May23'!AE65</f>
        <v>0</v>
      </c>
      <c r="AF75" s="158">
        <f>AF70+'May23'!AF65</f>
        <v>0</v>
      </c>
      <c r="AG75" s="158">
        <f>AG70+'May23'!AG65</f>
        <v>0</v>
      </c>
    </row>
    <row r="76" spans="1:34" ht="14" thickTop="1" x14ac:dyDescent="0.15"/>
    <row r="77" spans="1:34" x14ac:dyDescent="0.15">
      <c r="AD77" s="162"/>
      <c r="AE77" s="158">
        <f>AE72+'May23'!AE67</f>
        <v>0</v>
      </c>
      <c r="AF77" s="158">
        <f>AF72+'May23'!AF67</f>
        <v>0</v>
      </c>
      <c r="AG77" s="158">
        <f>AG72+'May23'!AG67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14</v>
      </c>
      <c r="F9" s="35"/>
      <c r="G9" s="35"/>
      <c r="H9" s="361" t="s">
        <v>28</v>
      </c>
      <c r="I9" s="440"/>
      <c r="J9" s="441"/>
      <c r="K9" s="204">
        <f>Admin!B91</f>
        <v>45111</v>
      </c>
      <c r="L9" s="203" t="s">
        <v>76</v>
      </c>
      <c r="M9" s="205">
        <f>K9+6</f>
        <v>45117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IF(T$9="Y",'Jun23'!H41,0)</f>
        <v>0</v>
      </c>
      <c r="I11" s="89">
        <f>IF(T$9="Y",'Jun23'!I41,0)</f>
        <v>0</v>
      </c>
      <c r="J11" s="89">
        <f>IF(T$9="Y",'Jun23'!J41,0)</f>
        <v>0</v>
      </c>
      <c r="K11" s="89">
        <f>IF(T$9="Y",'Jun23'!K41,I11*J11)</f>
        <v>0</v>
      </c>
      <c r="L11" s="89">
        <f>IF(T$9="Y",'Jun23'!L41,0)</f>
        <v>0</v>
      </c>
      <c r="M11" s="99" t="str">
        <f>IF(E11=" "," ",IF(T$9="Y",'Jun23'!M41,IF((H11+K11+L11)&gt;0,H11+K11+L11,"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IF(Employee!H$34=E$9,Employee!D$34+SUM(M11)+'Jun23'!V51,SUM(M11)+'Jun23'!V51)</f>
        <v>0</v>
      </c>
      <c r="W11" s="49">
        <f>IF(Employee!H$34=E$9,Employee!D$35+SUM(N11)+'Jun23'!W51,SUM(N11)+'Jun23'!W51)</f>
        <v>0</v>
      </c>
      <c r="X11" s="49">
        <f>IF(O11=" ",'Jun23'!X51,O11+'Jun23'!X51)</f>
        <v>0</v>
      </c>
      <c r="Y11" s="49">
        <f>IF(P11=" ",'Jun23'!Y51,P11+'Jun23'!Y51)</f>
        <v>0</v>
      </c>
      <c r="Z11" s="49">
        <f>IF(Q11=" ",'Jun23'!Z51,Q11+'Jun23'!Z51)</f>
        <v>0</v>
      </c>
      <c r="AA11" s="49">
        <f>IF(R11=" ",'Jun23'!AA51,R11+'Jun23'!AA51)</f>
        <v>0</v>
      </c>
      <c r="AC11" s="49">
        <f>IF(T11=" ",'Jun23'!AC51,T11+'Jun23'!AC51)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IF(T$9="Y",'Jun23'!H42,0)</f>
        <v>0</v>
      </c>
      <c r="I12" s="92">
        <f>IF(T$9="Y",'Jun23'!I42,0)</f>
        <v>0</v>
      </c>
      <c r="J12" s="92">
        <f>IF(T$9="Y",'Jun23'!J42,0)</f>
        <v>0</v>
      </c>
      <c r="K12" s="92">
        <f>IF(T$9="Y",'Jun23'!K42,I12*J12)</f>
        <v>0</v>
      </c>
      <c r="L12" s="92">
        <f>IF(T$9="Y",'Jun23'!L42,0)</f>
        <v>0</v>
      </c>
      <c r="M12" s="100" t="str">
        <f>IF(E12=" "," ",IF(T$9="Y",'Jun23'!M42,IF((H12+K12+L12)&gt;0,H12+K12+L12,"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IF(Employee!H$60=E$9,Employee!D$60+SUM(M12)+'Jun23'!V52,SUM(M12)+'Jun23'!V52)</f>
        <v>0</v>
      </c>
      <c r="W12" s="49">
        <f>IF(Employee!H$60=E$9,Employee!D$61+SUM(N12)+'Jun23'!W52,SUM(N12)+'Jun23'!W52)</f>
        <v>0</v>
      </c>
      <c r="X12" s="49">
        <f>IF(O12=" ",'Jun23'!X52,O12+'Jun23'!X52)</f>
        <v>0</v>
      </c>
      <c r="Y12" s="49">
        <f>IF(P12=" ",'Jun23'!Y52,P12+'Jun23'!Y52)</f>
        <v>0</v>
      </c>
      <c r="Z12" s="49">
        <f>IF(Q12=" ",'Jun23'!Z52,Q12+'Jun23'!Z52)</f>
        <v>0</v>
      </c>
      <c r="AA12" s="49">
        <f>IF(R12=" ",'Jun23'!AA52,R12+'Jun23'!AA52)</f>
        <v>0</v>
      </c>
      <c r="AC12" s="49">
        <f>IF(T12=" ",'Jun23'!AC52,T12+'Jun23'!AC52)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IF(T$9="Y",'Jun23'!H43,0)</f>
        <v>0</v>
      </c>
      <c r="I13" s="92">
        <f>IF(T$9="Y",'Jun23'!I43,0)</f>
        <v>0</v>
      </c>
      <c r="J13" s="92">
        <f>IF(T$9="Y",'Jun23'!J43,0)</f>
        <v>0</v>
      </c>
      <c r="K13" s="92">
        <f>IF(T$9="Y",'Jun23'!K43,I13*J13)</f>
        <v>0</v>
      </c>
      <c r="L13" s="92">
        <f>IF(T$9="Y",'Jun23'!L43,0)</f>
        <v>0</v>
      </c>
      <c r="M13" s="100" t="str">
        <f>IF(E13=" "," ",IF(T$9="Y",'Jun23'!M43,IF((H13+K13+L13)&gt;0,H13+K13+L13,"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IF(Employee!H$86=E$9,Employee!D$86+SUM(M13)+'Jun23'!V53,SUM(M13)+'Jun23'!V53)</f>
        <v>0</v>
      </c>
      <c r="W13" s="49">
        <f>IF(Employee!H$86=E$9,Employee!D$87+SUM(N13)+'Jun23'!W53,SUM(N13)+'Jun23'!W53)</f>
        <v>0</v>
      </c>
      <c r="X13" s="49">
        <f>IF(O13=" ",'Jun23'!X53,O13+'Jun23'!X53)</f>
        <v>0</v>
      </c>
      <c r="Y13" s="49">
        <f>IF(P13=" ",'Jun23'!Y53,P13+'Jun23'!Y53)</f>
        <v>0</v>
      </c>
      <c r="Z13" s="49">
        <f>IF(Q13=" ",'Jun23'!Z53,Q13+'Jun23'!Z53)</f>
        <v>0</v>
      </c>
      <c r="AA13" s="49">
        <f>IF(R13=" ",'Jun23'!AA53,R13+'Jun23'!AA53)</f>
        <v>0</v>
      </c>
      <c r="AC13" s="49">
        <f>IF(T13=" ",'Jun23'!AC53,T13+'Jun23'!AC53)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IF(T$9="Y",'Jun23'!H44,0)</f>
        <v>0</v>
      </c>
      <c r="I14" s="92">
        <f>IF(T$9="Y",'Jun23'!I44,0)</f>
        <v>0</v>
      </c>
      <c r="J14" s="92">
        <f>IF(T$9="Y",'Jun23'!J44,0)</f>
        <v>0</v>
      </c>
      <c r="K14" s="92">
        <f>IF(T$9="Y",'Jun23'!K44,I14*J14)</f>
        <v>0</v>
      </c>
      <c r="L14" s="92">
        <f>IF(T$9="Y",'Jun23'!L44,0)</f>
        <v>0</v>
      </c>
      <c r="M14" s="100" t="str">
        <f>IF(E14=" "," ",IF(T$9="Y",'Jun23'!M44,IF((H14+K14+L14)&gt;0,H14+K14+L14,"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IF(Employee!H$112=E$9,Employee!D$112+SUM(M14)+'Jun23'!V54,SUM(M14)+'Jun23'!V54)</f>
        <v>0</v>
      </c>
      <c r="W14" s="49">
        <f>IF(Employee!H$112=E$9,Employee!D$113+SUM(N14)+'Jun23'!W54,SUM(N14)+'Jun23'!W54)</f>
        <v>0</v>
      </c>
      <c r="X14" s="49">
        <f>IF(O14=" ",'Jun23'!X54,O14+'Jun23'!X54)</f>
        <v>0</v>
      </c>
      <c r="Y14" s="49">
        <f>IF(P14=" ",'Jun23'!Y54,P14+'Jun23'!Y54)</f>
        <v>0</v>
      </c>
      <c r="Z14" s="49">
        <f>IF(Q14=" ",'Jun23'!Z54,Q14+'Jun23'!Z54)</f>
        <v>0</v>
      </c>
      <c r="AA14" s="49">
        <f>IF(R14=" ",'Jun23'!AA54,R14+'Jun23'!AA54)</f>
        <v>0</v>
      </c>
      <c r="AC14" s="49">
        <f>IF(T14=" ",'Jun23'!AC54,T14+'Jun23'!AC54)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IF(T$9="Y",'Jun23'!H45,0)</f>
        <v>0</v>
      </c>
      <c r="I15" s="245">
        <f>IF(T$9="Y",'Jun23'!I45,0)</f>
        <v>0</v>
      </c>
      <c r="J15" s="245">
        <f>IF(T$9="Y",'Jun23'!J45,0)</f>
        <v>0</v>
      </c>
      <c r="K15" s="245">
        <f>IF(T$9="Y",'Jun23'!K45,I15*J15)</f>
        <v>0</v>
      </c>
      <c r="L15" s="245">
        <f>IF(T$9="Y",'Jun23'!L45,0)</f>
        <v>0</v>
      </c>
      <c r="M15" s="247" t="str">
        <f>IF(E15=" "," ",IF(T$9="Y",'Jun23'!M45,IF((H15+K15+L15)&gt;0,H15+K15+L15,"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IF(Employee!H$138=E$9,Employee!D$138+SUM(M15)+'Jun23'!V55,SUM(M15)+'Jun23'!V55)</f>
        <v>0</v>
      </c>
      <c r="W15" s="49">
        <f>IF(Employee!H$138=E$9,Employee!D$139+SUM(N15)+'Jun23'!W55,SUM(N15)+'Jun23'!W55)</f>
        <v>0</v>
      </c>
      <c r="X15" s="49">
        <f>IF(O15=" ",'Jun23'!X55,O15+'Jun23'!X55)</f>
        <v>0</v>
      </c>
      <c r="Y15" s="49">
        <f>IF(P15=" ",'Jun23'!Y55,P15+'Jun23'!Y55)</f>
        <v>0</v>
      </c>
      <c r="Z15" s="49">
        <f>IF(Q15=" ",'Jun23'!Z55,Q15+'Jun23'!Z55)</f>
        <v>0</v>
      </c>
      <c r="AA15" s="49">
        <f>IF(R15=" ",'Jun23'!AA55,R15+'Jun23'!AA55)</f>
        <v>0</v>
      </c>
      <c r="AC15" s="49">
        <f>IF(T15=" ",'Jun23'!AC55,T15+'Jun23'!AC55)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15</v>
      </c>
      <c r="F19" s="35"/>
      <c r="G19" s="35"/>
      <c r="H19" s="361" t="s">
        <v>28</v>
      </c>
      <c r="I19" s="362"/>
      <c r="J19" s="360"/>
      <c r="K19" s="204">
        <f>M9+1</f>
        <v>45118</v>
      </c>
      <c r="L19" s="203" t="s">
        <v>76</v>
      </c>
      <c r="M19" s="205">
        <f>K19+6</f>
        <v>45124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16</v>
      </c>
      <c r="F29" s="35"/>
      <c r="G29" s="35"/>
      <c r="H29" s="361" t="s">
        <v>28</v>
      </c>
      <c r="I29" s="362"/>
      <c r="J29" s="360"/>
      <c r="K29" s="204">
        <f>M19+1</f>
        <v>45125</v>
      </c>
      <c r="L29" s="203" t="s">
        <v>76</v>
      </c>
      <c r="M29" s="205">
        <f>K29+6</f>
        <v>45131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17</v>
      </c>
      <c r="F39" s="35"/>
      <c r="G39" s="35"/>
      <c r="H39" s="361" t="s">
        <v>28</v>
      </c>
      <c r="I39" s="362"/>
      <c r="J39" s="360"/>
      <c r="K39" s="204">
        <f>M29+1</f>
        <v>45132</v>
      </c>
      <c r="L39" s="203" t="s">
        <v>76</v>
      </c>
      <c r="M39" s="205">
        <f>K39+6</f>
        <v>45138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4</v>
      </c>
      <c r="F49" s="35"/>
      <c r="G49" s="35"/>
      <c r="H49" s="361" t="s">
        <v>28</v>
      </c>
      <c r="I49" s="362"/>
      <c r="J49" s="360"/>
      <c r="K49" s="204">
        <f>Admin!B88</f>
        <v>45108</v>
      </c>
      <c r="L49" s="203" t="s">
        <v>76</v>
      </c>
      <c r="M49" s="205">
        <f>Admin!B118</f>
        <v>45138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IF(T$49="Y",'Jun23'!H61,0)</f>
        <v>0</v>
      </c>
      <c r="I51" s="89">
        <f>IF(T$49="Y",'Jun23'!I61,0)</f>
        <v>0</v>
      </c>
      <c r="J51" s="89">
        <f>IF(T$49="Y",'Jun23'!J61,0)</f>
        <v>0</v>
      </c>
      <c r="K51" s="89">
        <f>IF(T$49="Y",'Jun23'!K61,I51*J51)</f>
        <v>0</v>
      </c>
      <c r="L51" s="110">
        <f>IF(T$49="Y",'Jun23'!L61,0)</f>
        <v>0</v>
      </c>
      <c r="M51" s="99" t="str">
        <f>IF(E51=" "," ",IF(T$49="Y",'Jun23'!M61,IF((H51+K51+L51)&gt;0,H51+K51+L51,"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IF(Employee!H$35=E$49,Employee!D$34+SUM(M51)+'Jun23'!V61,SUM(M51)+'Jun23'!V61)</f>
        <v>0</v>
      </c>
      <c r="W51" s="49">
        <f>IF(Employee!H$35=E$49,Employee!D$35+SUM(N51)+'Jun23'!W61,SUM(N51)+'Jun23'!W61)</f>
        <v>0</v>
      </c>
      <c r="X51" s="49">
        <f>IF(O51=" ",'Jun23'!X61,O51+'Jun23'!X61)</f>
        <v>0</v>
      </c>
      <c r="Y51" s="49">
        <f>IF(P51=" ",'Jun23'!Y61,P51+'Jun23'!Y61)</f>
        <v>0</v>
      </c>
      <c r="Z51" s="49">
        <f>IF(Q51=" ",'Jun23'!Z61,Q51+'Jun23'!Z61)</f>
        <v>0</v>
      </c>
      <c r="AA51" s="49">
        <f>IF(R51=" ",'Jun23'!AA61,R51+'Jun23'!AA61)</f>
        <v>0</v>
      </c>
      <c r="AC51" s="49">
        <f>IF(T51=" ",'Jun23'!AC61,T51+'Jun23'!AC61)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IF(T$49="Y",'Jun23'!H62,0)</f>
        <v>0</v>
      </c>
      <c r="I52" s="92">
        <f>IF(T$49="Y",'Jun23'!I62,0)</f>
        <v>0</v>
      </c>
      <c r="J52" s="92">
        <f>IF(T$49="Y",'Jun23'!J62,0)</f>
        <v>0</v>
      </c>
      <c r="K52" s="92">
        <f>IF(T$49="Y",'Jun23'!K62,I52*J52)</f>
        <v>0</v>
      </c>
      <c r="L52" s="111">
        <f>IF(T$49="Y",'Jun23'!L62,0)</f>
        <v>0</v>
      </c>
      <c r="M52" s="100" t="str">
        <f>IF(E52=" "," ",IF(T$49="Y",'Jun23'!M62,IF((H52+K52+L52)&gt;0,H52+K52+L52,"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IF(Employee!H$61=E$49,Employee!D$60+SUM(M52)+'Jun23'!V62,SUM(M52)+'Jun23'!V62)</f>
        <v>0</v>
      </c>
      <c r="W52" s="49">
        <f>IF(Employee!H$61=E$49,Employee!D$61+SUM(N52)+'Jun23'!W62,SUM(N52)+'Jun23'!W62)</f>
        <v>0</v>
      </c>
      <c r="X52" s="49">
        <f>IF(O52=" ",'Jun23'!X62,O52+'Jun23'!X62)</f>
        <v>0</v>
      </c>
      <c r="Y52" s="49">
        <f>IF(P52=" ",'Jun23'!Y62,P52+'Jun23'!Y62)</f>
        <v>0</v>
      </c>
      <c r="Z52" s="49">
        <f>IF(Q52=" ",'Jun23'!Z62,Q52+'Jun23'!Z62)</f>
        <v>0</v>
      </c>
      <c r="AA52" s="49">
        <f>IF(R52=" ",'Jun23'!AA62,R52+'Jun23'!AA62)</f>
        <v>0</v>
      </c>
      <c r="AC52" s="49">
        <f>IF(T52=" ",'Jun23'!AC62,T52+'Jun23'!AC62)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IF(T$49="Y",'Jun23'!H63,0)</f>
        <v>0</v>
      </c>
      <c r="I53" s="92">
        <f>IF(T$49="Y",'Jun23'!I63,0)</f>
        <v>0</v>
      </c>
      <c r="J53" s="92">
        <f>IF(T$49="Y",'Jun23'!J63,0)</f>
        <v>0</v>
      </c>
      <c r="K53" s="92">
        <f>IF(T$49="Y",'Jun23'!K63,I53*J53)</f>
        <v>0</v>
      </c>
      <c r="L53" s="111">
        <f>IF(T$49="Y",'Jun23'!L63,0)</f>
        <v>0</v>
      </c>
      <c r="M53" s="100" t="str">
        <f>IF(E53=" "," ",IF(T$49="Y",'Jun23'!M63,IF((H53+K53+L53)&gt;0,H53+K53+L53,"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IF(Employee!H$87=E$49,Employee!D$86+SUM(M53)+'Jun23'!V63,SUM(M53)+'Jun23'!V63)</f>
        <v>0</v>
      </c>
      <c r="W53" s="49">
        <f>IF(Employee!H$87=E$49,Employee!D$87+SUM(N53)+'Jun23'!W63,SUM(N53)+'Jun23'!W63)</f>
        <v>0</v>
      </c>
      <c r="X53" s="49">
        <f>IF(O53=" ",'Jun23'!X63,O53+'Jun23'!X63)</f>
        <v>0</v>
      </c>
      <c r="Y53" s="49">
        <f>IF(P53=" ",'Jun23'!Y63,P53+'Jun23'!Y63)</f>
        <v>0</v>
      </c>
      <c r="Z53" s="49">
        <f>IF(Q53=" ",'Jun23'!Z63,Q53+'Jun23'!Z63)</f>
        <v>0</v>
      </c>
      <c r="AA53" s="49">
        <f>IF(R53=" ",'Jun23'!AA63,R53+'Jun23'!AA63)</f>
        <v>0</v>
      </c>
      <c r="AC53" s="49">
        <f>IF(T53=" ",'Jun23'!AC63,T53+'Jun23'!AC63)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IF(T$49="Y",'Jun23'!H64,0)</f>
        <v>0</v>
      </c>
      <c r="I54" s="92">
        <f>IF(T$49="Y",'Jun23'!I64,0)</f>
        <v>0</v>
      </c>
      <c r="J54" s="92">
        <f>IF(T$49="Y",'Jun23'!J64,0)</f>
        <v>0</v>
      </c>
      <c r="K54" s="92">
        <f>IF(T$49="Y",'Jun23'!K64,I54*J54)</f>
        <v>0</v>
      </c>
      <c r="L54" s="111">
        <f>IF(T$49="Y",'Jun23'!L64,0)</f>
        <v>0</v>
      </c>
      <c r="M54" s="100" t="str">
        <f>IF(E54=" "," ",IF(T$49="Y",'Jun23'!M64,IF((H54+K54+L54)&gt;0,H54+K54+L54,"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IF(Employee!H$113=E$49,Employee!D$112+SUM(M54)+'Jun23'!V64,SUM(M54)+'Jun23'!V64)</f>
        <v>0</v>
      </c>
      <c r="W54" s="49">
        <f>IF(Employee!H$113=E$49,Employee!D$113+SUM(N54)+'Jun23'!W64,SUM(N54)+'Jun23'!W64)</f>
        <v>0</v>
      </c>
      <c r="X54" s="49">
        <f>IF(O54=" ",'Jun23'!X64,O54+'Jun23'!X64)</f>
        <v>0</v>
      </c>
      <c r="Y54" s="49">
        <f>IF(P54=" ",'Jun23'!Y64,P54+'Jun23'!Y64)</f>
        <v>0</v>
      </c>
      <c r="Z54" s="49">
        <f>IF(Q54=" ",'Jun23'!Z64,Q54+'Jun23'!Z64)</f>
        <v>0</v>
      </c>
      <c r="AA54" s="49">
        <f>IF(R54=" ",'Jun23'!AA64,R54+'Jun23'!AA64)</f>
        <v>0</v>
      </c>
      <c r="AC54" s="49">
        <f>IF(T54=" ",'Jun23'!AC64,T54+'Jun23'!AC64)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IF(T$49="Y",'Jun23'!H65,0)</f>
        <v>0</v>
      </c>
      <c r="I55" s="245">
        <f>IF(T$49="Y",'Jun23'!I65,0)</f>
        <v>0</v>
      </c>
      <c r="J55" s="245">
        <f>IF(T$49="Y",'Jun23'!J65,0)</f>
        <v>0</v>
      </c>
      <c r="K55" s="245">
        <f>IF(T$49="Y",'Jun23'!K65,I55*J55)</f>
        <v>0</v>
      </c>
      <c r="L55" s="246">
        <f>IF(T$49="Y",'Jun23'!L65,0)</f>
        <v>0</v>
      </c>
      <c r="M55" s="100" t="str">
        <f>IF(E55=" "," ",IF(T$49="Y",'Jun23'!M65,IF((H55+K55+L55)&gt;0,H55+K55+L55,"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IF(Employee!H$139=E$49,Employee!D$138+SUM(M55)+'Jun23'!V65,SUM(M55)+'Jun23'!V65)</f>
        <v>0</v>
      </c>
      <c r="W55" s="49">
        <f>IF(Employee!H$139=E$49,Employee!D$139+SUM(N55)+'Jun23'!W65,SUM(N55)+'Jun23'!W65)</f>
        <v>0</v>
      </c>
      <c r="X55" s="49">
        <f>IF(O55=" ",'Jun23'!X65,O55+'Jun23'!X65)</f>
        <v>0</v>
      </c>
      <c r="Y55" s="49">
        <f>IF(P55=" ",'Jun23'!Y65,P55+'Jun23'!Y65)</f>
        <v>0</v>
      </c>
      <c r="Z55" s="49">
        <f>IF(Q55=" ",'Jun23'!Z65,Q55+'Jun23'!Z65)</f>
        <v>0</v>
      </c>
      <c r="AA55" s="49">
        <f>IF(R55=" ",'Jun23'!AA65,R55+'Jun23'!AA65)</f>
        <v>0</v>
      </c>
      <c r="AC55" s="49">
        <f>IF(T55=" ",'Jun23'!AC65,T55+'Jun23'!AC65)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AD60+'Jun23'!AD75</f>
        <v>0</v>
      </c>
      <c r="AE65" s="158">
        <f>AE60+'Jun23'!AE75</f>
        <v>0</v>
      </c>
      <c r="AF65" s="158">
        <f>AF60+'Jun23'!AF75</f>
        <v>0</v>
      </c>
      <c r="AG65" s="158">
        <f>AG60+'Jun23'!AG75</f>
        <v>0</v>
      </c>
    </row>
    <row r="66" spans="6:33" ht="14" thickTop="1" x14ac:dyDescent="0.15"/>
    <row r="67" spans="6:33" x14ac:dyDescent="0.15">
      <c r="AD67" s="162"/>
      <c r="AE67" s="158">
        <f>AE62+'Jun23'!AE77</f>
        <v>0</v>
      </c>
      <c r="AF67" s="158">
        <f>AF62+'Jun23'!AF77</f>
        <v>0</v>
      </c>
      <c r="AG67" s="158">
        <f>AG62+'Jun23'!AG77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18</v>
      </c>
      <c r="F9" s="35"/>
      <c r="G9" s="35"/>
      <c r="H9" s="361" t="s">
        <v>28</v>
      </c>
      <c r="I9" s="362"/>
      <c r="J9" s="360"/>
      <c r="K9" s="204">
        <f>Admin!B119</f>
        <v>45139</v>
      </c>
      <c r="L9" s="203" t="s">
        <v>76</v>
      </c>
      <c r="M9" s="205">
        <f>K9+6</f>
        <v>45145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IF(T$9="Y",'Jul23'!#REF!,0)</f>
        <v>0</v>
      </c>
      <c r="I11" s="89">
        <f>IF(T$9="Y",'Jul23'!#REF!,0)</f>
        <v>0</v>
      </c>
      <c r="J11" s="89">
        <f>IF(T$9="Y",'Jul23'!#REF!,0)</f>
        <v>0</v>
      </c>
      <c r="K11" s="89">
        <v>0</v>
      </c>
      <c r="L11" s="110">
        <f>IF(T$9="Y",'Jul23'!#REF!,0)</f>
        <v>0</v>
      </c>
      <c r="M11" s="110" t="str">
        <f>IF(E11=" "," ",IF(T$9="Y",'Jul23'!#REF!,IF((H11+K11+L11)&gt;0,H11+K11+L11,"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IF(Employee!H$34=E$9,Employee!D$34+SUM(M11)+'Jul23'!V41,SUM(M11)+'Jul23'!V41)</f>
        <v>0</v>
      </c>
      <c r="W11" s="49">
        <f>IF(Employee!H$34=E$9,Employee!D$35+SUM(N11)+'Jul23'!W41,SUM(N11)+'Jul23'!W41)</f>
        <v>0</v>
      </c>
      <c r="X11" s="49">
        <f>IF(O11=" ",'Jul23'!X41,O11+'Jul23'!X41)</f>
        <v>0</v>
      </c>
      <c r="Y11" s="49">
        <f>IF(P11=" ",'Jul23'!Y41,P11+'Jul23'!Y41)</f>
        <v>0</v>
      </c>
      <c r="Z11" s="49">
        <f>IF(Q11=" ",'Jul23'!Z41,Q11+'Jul23'!Z41)</f>
        <v>0</v>
      </c>
      <c r="AA11" s="49">
        <f>IF(R11=" ",'Jul23'!AA41,R11+'Jul23'!AA41)</f>
        <v>0</v>
      </c>
      <c r="AC11" s="49">
        <f>IF(T11=" ",'Jul23'!AC41,T11+'Jul23'!AC41)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IF(T$9="Y",'Jul23'!#REF!,0)</f>
        <v>0</v>
      </c>
      <c r="I12" s="92">
        <f>IF(T$9="Y",'Jul23'!#REF!,0)</f>
        <v>0</v>
      </c>
      <c r="J12" s="92">
        <f>IF(T$9="Y",'Jul23'!#REF!,0)</f>
        <v>0</v>
      </c>
      <c r="K12" s="92">
        <f>IF(T$9="Y",'Jul23'!#REF!,I12*J12)</f>
        <v>0</v>
      </c>
      <c r="L12" s="111">
        <f>IF(T$9="Y",'Jul23'!#REF!,0)</f>
        <v>0</v>
      </c>
      <c r="M12" s="111" t="str">
        <f>IF(E12=" "," ",IF(T$9="Y",'Jul23'!#REF!,IF((H12+K12+L12)&gt;0,H12+K12+L12,"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IF(Employee!H$60=E$9,Employee!D$60+SUM(M12)+'Jul23'!V42,SUM(M12)+'Jul23'!V42)</f>
        <v>0</v>
      </c>
      <c r="W12" s="49">
        <f>IF(Employee!H$60=E$9,Employee!D$61+SUM(N12)+'Jul23'!W42,SUM(N12)+'Jul23'!W42)</f>
        <v>0</v>
      </c>
      <c r="X12" s="49">
        <f>IF(O12=" ",'Jul23'!X42,O12+'Jul23'!X42)</f>
        <v>0</v>
      </c>
      <c r="Y12" s="49">
        <f>IF(P12=" ",'Jul23'!Y42,P12+'Jul23'!Y42)</f>
        <v>0</v>
      </c>
      <c r="Z12" s="49">
        <f>IF(Q12=" ",'Jul23'!Z42,Q12+'Jul23'!Z42)</f>
        <v>0</v>
      </c>
      <c r="AA12" s="49">
        <f>IF(R12=" ",'Jul23'!AA42,R12+'Jul23'!AA42)</f>
        <v>0</v>
      </c>
      <c r="AC12" s="49">
        <f>IF(T12=" ",'Jul23'!AC42,T12+'Jul23'!AC42)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IF(T$9="Y",'Jul23'!#REF!,0)</f>
        <v>0</v>
      </c>
      <c r="I13" s="92">
        <f>IF(T$9="Y",'Jul23'!#REF!,0)</f>
        <v>0</v>
      </c>
      <c r="J13" s="92">
        <f>IF(T$9="Y",'Jul23'!#REF!,0)</f>
        <v>0</v>
      </c>
      <c r="K13" s="92">
        <f>IF(T$9="Y",'Jul23'!#REF!,I13*J13)</f>
        <v>0</v>
      </c>
      <c r="L13" s="111">
        <f>IF(T$9="Y",'Jul23'!#REF!,0)</f>
        <v>0</v>
      </c>
      <c r="M13" s="111" t="str">
        <f>IF(E13=" "," ",IF(T$9="Y",'Jul23'!#REF!,IF((H13+K13+L13)&gt;0,H13+K13+L13,"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IF(Employee!H$86=E$9,Employee!D$86+SUM(M13)+'Jul23'!V43,SUM(M13)+'Jul23'!V43)</f>
        <v>0</v>
      </c>
      <c r="W13" s="49">
        <f>IF(Employee!H$86=E$9,Employee!D$87+SUM(N13)+'Jul23'!W43,SUM(N13)+'Jul23'!W43)</f>
        <v>0</v>
      </c>
      <c r="X13" s="49">
        <f>IF(O13=" ",'Jul23'!X43,O13+'Jul23'!X43)</f>
        <v>0</v>
      </c>
      <c r="Y13" s="49">
        <f>IF(P13=" ",'Jul23'!Y43,P13+'Jul23'!Y43)</f>
        <v>0</v>
      </c>
      <c r="Z13" s="49">
        <f>IF(Q13=" ",'Jul23'!Z43,Q13+'Jul23'!Z43)</f>
        <v>0</v>
      </c>
      <c r="AA13" s="49">
        <f>IF(R13=" ",'Jul23'!AA43,R13+'Jul23'!AA43)</f>
        <v>0</v>
      </c>
      <c r="AC13" s="49">
        <f>IF(T13=" ",'Jul23'!AC43,T13+'Jul23'!AC43)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IF(T$9="Y",'Jul23'!#REF!,0)</f>
        <v>0</v>
      </c>
      <c r="I14" s="92">
        <f>IF(T$9="Y",'Jul23'!#REF!,0)</f>
        <v>0</v>
      </c>
      <c r="J14" s="92">
        <f>IF(T$9="Y",'Jul23'!#REF!,0)</f>
        <v>0</v>
      </c>
      <c r="K14" s="92">
        <f>IF(T$9="Y",'Jul23'!#REF!,I14*J14)</f>
        <v>0</v>
      </c>
      <c r="L14" s="111">
        <f>IF(T$9="Y",'Jul23'!#REF!,0)</f>
        <v>0</v>
      </c>
      <c r="M14" s="111" t="str">
        <f>IF(E14=" "," ",IF(T$9="Y",'Jul23'!#REF!,IF((H14+K14+L14)&gt;0,H14+K14+L14,"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IF(Employee!H$112=E$9,Employee!D$112+SUM(M14)+'Jul23'!V44,SUM(M14)+'Jul23'!V44)</f>
        <v>0</v>
      </c>
      <c r="W14" s="49">
        <f>IF(Employee!H$112=E$9,Employee!D$113+SUM(N14)+'Jul23'!W44,SUM(N14)+'Jul23'!W44)</f>
        <v>0</v>
      </c>
      <c r="X14" s="49">
        <f>IF(O14=" ",'Jul23'!X44,O14+'Jul23'!X44)</f>
        <v>0</v>
      </c>
      <c r="Y14" s="49">
        <f>IF(P14=" ",'Jul23'!Y44,P14+'Jul23'!Y44)</f>
        <v>0</v>
      </c>
      <c r="Z14" s="49">
        <f>IF(Q14=" ",'Jul23'!Z44,Q14+'Jul23'!Z44)</f>
        <v>0</v>
      </c>
      <c r="AA14" s="49">
        <f>IF(R14=" ",'Jul23'!AA44,R14+'Jul23'!AA44)</f>
        <v>0</v>
      </c>
      <c r="AC14" s="49">
        <f>IF(T14=" ",'Jul23'!AC44,T14+'Jul23'!AC44)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IF(T$9="Y",'Jul23'!#REF!,0)</f>
        <v>0</v>
      </c>
      <c r="I15" s="245">
        <f>IF(T$9="Y",'Jul23'!#REF!,0)</f>
        <v>0</v>
      </c>
      <c r="J15" s="245">
        <f>IF(T$9="Y",'Jul23'!#REF!,0)</f>
        <v>0</v>
      </c>
      <c r="K15" s="245">
        <f>IF(T$9="Y",'Jul23'!#REF!,I15*J15)</f>
        <v>0</v>
      </c>
      <c r="L15" s="246">
        <f>IF(T$9="Y",'Jul23'!#REF!,0)</f>
        <v>0</v>
      </c>
      <c r="M15" s="246" t="str">
        <f>IF(E15=" "," ",IF(T$9="Y",'Jul23'!#REF!,IF((H15+K15+L15)&gt;0,H15+K15+L15,"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IF(Employee!H$138=E$9,Employee!D$138+SUM(M15)+'Jul23'!V45,SUM(M15)+'Jul23'!V45)</f>
        <v>0</v>
      </c>
      <c r="W15" s="49">
        <f>IF(Employee!H$138=E$9,Employee!D$139+SUM(N15)+'Jul23'!W45,SUM(N15)+'Jul23'!W45)</f>
        <v>0</v>
      </c>
      <c r="X15" s="49">
        <f>IF(O15=" ",'Jul23'!X45,O15+'Jul23'!X45)</f>
        <v>0</v>
      </c>
      <c r="Y15" s="49">
        <f>IF(P15=" ",'Jul23'!Y45,P15+'Jul23'!Y45)</f>
        <v>0</v>
      </c>
      <c r="Z15" s="49">
        <f>IF(Q15=" ",'Jul23'!Z45,Q15+'Jul23'!Z45)</f>
        <v>0</v>
      </c>
      <c r="AA15" s="49">
        <f>IF(R15=" ",'Jul23'!AA45,R15+'Jul23'!AA45)</f>
        <v>0</v>
      </c>
      <c r="AC15" s="49">
        <f>IF(T15=" ",'Jul23'!AC45,T15+'Jul23'!AC45)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19</v>
      </c>
      <c r="F19" s="35"/>
      <c r="G19" s="35"/>
      <c r="H19" s="361" t="s">
        <v>28</v>
      </c>
      <c r="I19" s="362"/>
      <c r="J19" s="360"/>
      <c r="K19" s="204">
        <f>M9+1</f>
        <v>45146</v>
      </c>
      <c r="L19" s="203" t="s">
        <v>76</v>
      </c>
      <c r="M19" s="205">
        <f>K19+6</f>
        <v>45152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20</v>
      </c>
      <c r="F29" s="35"/>
      <c r="G29" s="35"/>
      <c r="H29" s="361" t="s">
        <v>28</v>
      </c>
      <c r="I29" s="362"/>
      <c r="J29" s="360"/>
      <c r="K29" s="204">
        <f>M19+1</f>
        <v>45153</v>
      </c>
      <c r="L29" s="203" t="s">
        <v>76</v>
      </c>
      <c r="M29" s="205">
        <f>K29+6</f>
        <v>45159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21</v>
      </c>
      <c r="F39" s="35"/>
      <c r="G39" s="35"/>
      <c r="H39" s="361" t="s">
        <v>28</v>
      </c>
      <c r="I39" s="440"/>
      <c r="J39" s="441"/>
      <c r="K39" s="204">
        <f>M29+1</f>
        <v>45160</v>
      </c>
      <c r="L39" s="203" t="s">
        <v>76</v>
      </c>
      <c r="M39" s="205">
        <f>K39+6</f>
        <v>45166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5</v>
      </c>
      <c r="F49" s="35"/>
      <c r="G49" s="35"/>
      <c r="H49" s="361" t="s">
        <v>28</v>
      </c>
      <c r="I49" s="362"/>
      <c r="J49" s="360"/>
      <c r="K49" s="204">
        <f>Admin!B119</f>
        <v>45139</v>
      </c>
      <c r="L49" s="203" t="s">
        <v>76</v>
      </c>
      <c r="M49" s="205">
        <f>Admin!B149</f>
        <v>45169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IF(T$49="Y",'Jul23'!H51,0)</f>
        <v>0</v>
      </c>
      <c r="I51" s="89">
        <f>IF(T$49="Y",'Jul23'!I51,0)</f>
        <v>0</v>
      </c>
      <c r="J51" s="89">
        <f>IF(T$49="Y",'Jul23'!J51,0)</f>
        <v>0</v>
      </c>
      <c r="K51" s="89">
        <f>IF(T$49="Y",'Jul23'!K51,I51*J51)</f>
        <v>0</v>
      </c>
      <c r="L51" s="89">
        <f>IF(T$49="Y",'Jul23'!L51,0)</f>
        <v>0</v>
      </c>
      <c r="M51" s="99" t="str">
        <f>IF(E51=" "," ",IF(T$49="Y",'Jul23'!M51,IF((H51+K51+L51)&gt;0,H51+K51+L51,"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IF(Employee!H$35=E$49,Employee!D$34+SUM(M51)+'Jul23'!V51,SUM(M51)+'Jul23'!V51)</f>
        <v>0</v>
      </c>
      <c r="W51" s="49">
        <f>IF(Employee!H$35=E$49,Employee!D$35+SUM(N51)+'Jul23'!W51,SUM(N51)+'Jul23'!W51)</f>
        <v>0</v>
      </c>
      <c r="X51" s="49">
        <f>IF(O51=" ",'Jul23'!X51,O51+'Jul23'!X51)</f>
        <v>0</v>
      </c>
      <c r="Y51" s="49">
        <f>IF(P51=" ",'Jul23'!Y51,P51+'Jul23'!Y51)</f>
        <v>0</v>
      </c>
      <c r="Z51" s="49">
        <f>IF(Q51=" ",'Jul23'!Z51,Q51+'Jul23'!Z51)</f>
        <v>0</v>
      </c>
      <c r="AA51" s="49">
        <f>IF(R51=" ",'Jul23'!AA51,R51+'Jul23'!AA51)</f>
        <v>0</v>
      </c>
      <c r="AC51" s="49">
        <f>IF(T51=" ",'Jul23'!AC51,T51+'Jul23'!AC51)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IF(T$49="Y",'Jul23'!H52,0)</f>
        <v>0</v>
      </c>
      <c r="I52" s="92">
        <f>IF(T$49="Y",'Jul23'!I52,0)</f>
        <v>0</v>
      </c>
      <c r="J52" s="92">
        <f>IF(T$49="Y",'Jul23'!J52,0)</f>
        <v>0</v>
      </c>
      <c r="K52" s="92">
        <f>IF(T$49="Y",'Jul23'!K52,I52*J52)</f>
        <v>0</v>
      </c>
      <c r="L52" s="92">
        <f>IF(T$49="Y",'Jul23'!L52,0)</f>
        <v>0</v>
      </c>
      <c r="M52" s="100" t="str">
        <f>IF(E52=" "," ",IF(T$49="Y",'Jul23'!M52,IF((H52+K52+L52)&gt;0,H52+K52+L52,"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IF(Employee!H$61=E$49,Employee!D$60+SUM(M52)+'Jul23'!V52,SUM(M52)+'Jul23'!V52)</f>
        <v>0</v>
      </c>
      <c r="W52" s="49">
        <f>IF(Employee!H$61=E$49,Employee!D$61+SUM(N52)+'Jul23'!W52,SUM(N52)+'Jul23'!W52)</f>
        <v>0</v>
      </c>
      <c r="X52" s="49">
        <f>IF(O52=" ",'Jul23'!X52,O52+'Jul23'!X52)</f>
        <v>0</v>
      </c>
      <c r="Y52" s="49">
        <f>IF(P52=" ",'Jul23'!Y52,P52+'Jul23'!Y52)</f>
        <v>0</v>
      </c>
      <c r="Z52" s="49">
        <f>IF(Q52=" ",'Jul23'!Z52,Q52+'Jul23'!Z52)</f>
        <v>0</v>
      </c>
      <c r="AA52" s="49">
        <f>IF(R52=" ",'Jul23'!AA52,R52+'Jul23'!AA52)</f>
        <v>0</v>
      </c>
      <c r="AC52" s="49">
        <f>IF(T52=" ",'Jul23'!AC52,T52+'Jul23'!AC52)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IF(T$49="Y",'Jul23'!H53,0)</f>
        <v>0</v>
      </c>
      <c r="I53" s="92">
        <f>IF(T$49="Y",'Jul23'!I53,0)</f>
        <v>0</v>
      </c>
      <c r="J53" s="92">
        <f>IF(T$49="Y",'Jul23'!J53,0)</f>
        <v>0</v>
      </c>
      <c r="K53" s="92">
        <f>IF(T$49="Y",'Jul23'!K53,I53*J53)</f>
        <v>0</v>
      </c>
      <c r="L53" s="92">
        <f>IF(T$49="Y",'Jul23'!L53,0)</f>
        <v>0</v>
      </c>
      <c r="M53" s="100" t="str">
        <f>IF(E53=" "," ",IF(T$49="Y",'Jul23'!M53,IF((H53+K53+L53)&gt;0,H53+K53+L53,"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IF(Employee!H$87=E$49,Employee!D$86+SUM(M53)+'Jul23'!V53,SUM(M53)+'Jul23'!V53)</f>
        <v>0</v>
      </c>
      <c r="W53" s="49">
        <f>IF(Employee!H$87=E$49,Employee!D$87+SUM(N53)+'Jul23'!W53,SUM(N53)+'Jul23'!W53)</f>
        <v>0</v>
      </c>
      <c r="X53" s="49">
        <f>IF(O53=" ",'Jul23'!X53,O53+'Jul23'!X53)</f>
        <v>0</v>
      </c>
      <c r="Y53" s="49">
        <f>IF(P53=" ",'Jul23'!Y53,P53+'Jul23'!Y53)</f>
        <v>0</v>
      </c>
      <c r="Z53" s="49">
        <f>IF(Q53=" ",'Jul23'!Z53,Q53+'Jul23'!Z53)</f>
        <v>0</v>
      </c>
      <c r="AA53" s="49">
        <f>IF(R53=" ",'Jul23'!AA53,R53+'Jul23'!AA53)</f>
        <v>0</v>
      </c>
      <c r="AC53" s="49">
        <f>IF(T53=" ",'Jul23'!AC53,T53+'Jul23'!AC53)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IF(T$49="Y",'Jul23'!H54,0)</f>
        <v>0</v>
      </c>
      <c r="I54" s="92">
        <f>IF(T$49="Y",'Jul23'!I54,0)</f>
        <v>0</v>
      </c>
      <c r="J54" s="92">
        <f>IF(T$49="Y",'Jul23'!J54,0)</f>
        <v>0</v>
      </c>
      <c r="K54" s="92">
        <f>IF(T$49="Y",'Jul23'!K54,I54*J54)</f>
        <v>0</v>
      </c>
      <c r="L54" s="92">
        <f>IF(T$49="Y",'Jul23'!L54,0)</f>
        <v>0</v>
      </c>
      <c r="M54" s="100" t="str">
        <f>IF(E54=" "," ",IF(T$49="Y",'Jul23'!M54,IF((H54+K54+L54)&gt;0,H54+K54+L54,"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IF(Employee!H$113=E$49,Employee!D$112+SUM(M54)+'Jul23'!V54,SUM(M54)+'Jul23'!V54)</f>
        <v>0</v>
      </c>
      <c r="W54" s="49">
        <f>IF(Employee!H$113=E$49,Employee!D$113+SUM(N54)+'Jul23'!W54,SUM(N54)+'Jul23'!W54)</f>
        <v>0</v>
      </c>
      <c r="X54" s="49">
        <f>IF(O54=" ",'Jul23'!X54,O54+'Jul23'!X54)</f>
        <v>0</v>
      </c>
      <c r="Y54" s="49">
        <f>IF(P54=" ",'Jul23'!Y54,P54+'Jul23'!Y54)</f>
        <v>0</v>
      </c>
      <c r="Z54" s="49">
        <f>IF(Q54=" ",'Jul23'!Z54,Q54+'Jul23'!Z54)</f>
        <v>0</v>
      </c>
      <c r="AA54" s="49">
        <f>IF(R54=" ",'Jul23'!AA54,R54+'Jul23'!AA54)</f>
        <v>0</v>
      </c>
      <c r="AC54" s="49">
        <f>IF(T54=" ",'Jul23'!AC54,T54+'Jul23'!AC54)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IF(T$49="Y",'Jul23'!H55,0)</f>
        <v>0</v>
      </c>
      <c r="I55" s="92">
        <f>IF(T$49="Y",'Jul23'!I55,0)</f>
        <v>0</v>
      </c>
      <c r="J55" s="92">
        <f>IF(T$49="Y",'Jul23'!J55,0)</f>
        <v>0</v>
      </c>
      <c r="K55" s="92">
        <f>IF(T$49="Y",'Jul23'!K55,I55*J55)</f>
        <v>0</v>
      </c>
      <c r="L55" s="92">
        <f>IF(T$49="Y",'Jul23'!L55,0)</f>
        <v>0</v>
      </c>
      <c r="M55" s="100" t="str">
        <f>IF(E55=" "," ",IF(T$49="Y",'Jul23'!M55,IF((H55+K55+L55)&gt;0,H55+K55+L55,"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IF(Employee!H$139=E$49,Employee!D$138+SUM(M55)+'Jul23'!V55,SUM(M55)+'Jul23'!V55)</f>
        <v>0</v>
      </c>
      <c r="W55" s="49">
        <f>IF(Employee!H$139=E$49,Employee!D$139+SUM(N55)+'Jul23'!W55,SUM(N55)+'Jul23'!W55)</f>
        <v>0</v>
      </c>
      <c r="X55" s="49">
        <f>IF(O55=" ",'Jul23'!X55,O55+'Jul23'!X55)</f>
        <v>0</v>
      </c>
      <c r="Y55" s="49">
        <f>IF(P55=" ",'Jul23'!Y55,P55+'Jul23'!Y55)</f>
        <v>0</v>
      </c>
      <c r="Z55" s="49">
        <f>IF(Q55=" ",'Jul23'!Z55,Q55+'Jul23'!Z55)</f>
        <v>0</v>
      </c>
      <c r="AA55" s="49">
        <f>IF(R55=" ",'Jul23'!AA55,R55+'Jul23'!AA55)</f>
        <v>0</v>
      </c>
      <c r="AC55" s="49">
        <f>IF(T55=" ",'Jul23'!AC55,T55+'Jul23'!AC55)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AD60+'Jul23'!AD65</f>
        <v>0</v>
      </c>
      <c r="AE65" s="158">
        <f>AE60+'Jul23'!AE65</f>
        <v>0</v>
      </c>
      <c r="AF65" s="158">
        <f>AF60+'Jul23'!AF65</f>
        <v>0</v>
      </c>
      <c r="AG65" s="158">
        <f>AG60+'Jul23'!AG65</f>
        <v>0</v>
      </c>
    </row>
    <row r="66" spans="6:33" ht="14" thickTop="1" x14ac:dyDescent="0.15"/>
    <row r="67" spans="6:33" x14ac:dyDescent="0.15">
      <c r="AD67" s="162"/>
      <c r="AE67" s="158">
        <f>AE62+'Jul23'!AE67</f>
        <v>0</v>
      </c>
      <c r="AF67" s="158">
        <f>AF62+'Jul23'!AF67</f>
        <v>0</v>
      </c>
      <c r="AG67" s="158">
        <f>AG62+'Jul23'!AG67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22</v>
      </c>
      <c r="F9" s="35"/>
      <c r="G9" s="35"/>
      <c r="H9" s="361" t="s">
        <v>28</v>
      </c>
      <c r="I9" s="362"/>
      <c r="J9" s="360"/>
      <c r="K9" s="204">
        <f>'Aug23'!M39+1</f>
        <v>45167</v>
      </c>
      <c r="L9" s="203" t="s">
        <v>76</v>
      </c>
      <c r="M9" s="205">
        <f>K9+6</f>
        <v>45173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IF(T$9="Y",'Aug23'!H41,0)</f>
        <v>0</v>
      </c>
      <c r="I11" s="89">
        <f>IF(T$9="Y",'Aug23'!I41,0)</f>
        <v>0</v>
      </c>
      <c r="J11" s="89">
        <f>IF(T$9="Y",'Aug23'!J41,0)</f>
        <v>0</v>
      </c>
      <c r="K11" s="89">
        <f>IF(T$9="Y",'Aug23'!K41,I11*J11)</f>
        <v>0</v>
      </c>
      <c r="L11" s="110">
        <f>IF(T$9="Y",'Aug23'!L41,0)</f>
        <v>0</v>
      </c>
      <c r="M11" s="110" t="str">
        <f>IF(E11=" "," ",IF(T$9="Y",'Aug23'!M41,IF((H11+K11+L11)&gt;0,H11+K11+L11,"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IF(Employee!H$34=E$9,Employee!D$34+SUM(M11)+'Aug23'!V41,SUM(M11)+'Aug23'!V41)</f>
        <v>0</v>
      </c>
      <c r="W11" s="49">
        <f>IF(Employee!H$34=E$9,Employee!D$35+SUM(N11)+'Aug23'!W41,SUM(N11)+'Aug23'!W41)</f>
        <v>0</v>
      </c>
      <c r="X11" s="49">
        <f>IF(O11=" ",'Aug23'!X41,O11+'Aug23'!X41)</f>
        <v>0</v>
      </c>
      <c r="Y11" s="49">
        <f>IF(P11=" ",'Aug23'!Y41,P11+'Aug23'!Y41)</f>
        <v>0</v>
      </c>
      <c r="Z11" s="49">
        <f>IF(Q11=" ",'Aug23'!Z41,Q11+'Aug23'!Z41)</f>
        <v>0</v>
      </c>
      <c r="AA11" s="49">
        <f>IF(R11=" ",'Aug23'!AA41,R11+'Aug23'!AA41)</f>
        <v>0</v>
      </c>
      <c r="AC11" s="49">
        <f>IF(T11=" ",'Aug23'!AC41,T11+'Aug23'!AC41)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IF(T$9="Y",'Aug23'!H42,0)</f>
        <v>0</v>
      </c>
      <c r="I12" s="92">
        <f>IF(T$9="Y",'Aug23'!I42,0)</f>
        <v>0</v>
      </c>
      <c r="J12" s="92">
        <f>IF(T$9="Y",'Aug23'!J42,0)</f>
        <v>0</v>
      </c>
      <c r="K12" s="92">
        <f>IF(T$9="Y",'Aug23'!K42,I12*J12)</f>
        <v>0</v>
      </c>
      <c r="L12" s="111">
        <f>IF(T$9="Y",'Aug23'!L42,0)</f>
        <v>0</v>
      </c>
      <c r="M12" s="111" t="str">
        <f>IF(E12=" "," ",IF(T$9="Y",'Aug23'!M42,IF((H12+K12+L12)&gt;0,H12+K12+L12,"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IF(Employee!H$60=E$9,Employee!D$60+SUM(M12)+'Aug23'!V42,SUM(M12)+'Aug23'!V42)</f>
        <v>0</v>
      </c>
      <c r="W12" s="49">
        <f>IF(Employee!H$60=E$9,Employee!D$61+SUM(N12)+'Aug23'!W42,SUM(N12)+'Aug23'!W42)</f>
        <v>0</v>
      </c>
      <c r="X12" s="49">
        <f>IF(O12=" ",'Aug23'!X42,O12+'Aug23'!X42)</f>
        <v>0</v>
      </c>
      <c r="Y12" s="49">
        <f>IF(P12=" ",'Aug23'!Y42,P12+'Aug23'!Y42)</f>
        <v>0</v>
      </c>
      <c r="Z12" s="49">
        <f>IF(Q12=" ",'Aug23'!Z42,Q12+'Aug23'!Z42)</f>
        <v>0</v>
      </c>
      <c r="AA12" s="49">
        <f>IF(R12=" ",'Aug23'!AA42,R12+'Aug23'!AA42)</f>
        <v>0</v>
      </c>
      <c r="AC12" s="49">
        <f>IF(T12=" ",'Aug23'!AC42,T12+'Aug23'!AC42)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IF(T$9="Y",'Aug23'!H43,0)</f>
        <v>0</v>
      </c>
      <c r="I13" s="92">
        <f>IF(T$9="Y",'Aug23'!I43,0)</f>
        <v>0</v>
      </c>
      <c r="J13" s="92">
        <f>IF(T$9="Y",'Aug23'!J43,0)</f>
        <v>0</v>
      </c>
      <c r="K13" s="92">
        <f>IF(T$9="Y",'Aug23'!K43,I13*J13)</f>
        <v>0</v>
      </c>
      <c r="L13" s="111">
        <f>IF(T$9="Y",'Aug23'!L43,0)</f>
        <v>0</v>
      </c>
      <c r="M13" s="111" t="str">
        <f>IF(E13=" "," ",IF(T$9="Y",'Aug23'!M43,IF((H13+K13+L13)&gt;0,H13+K13+L13,"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IF(Employee!H$86=E$9,Employee!D$86+SUM(M13)+'Aug23'!V43,SUM(M13)+'Aug23'!V43)</f>
        <v>0</v>
      </c>
      <c r="W13" s="49">
        <f>IF(Employee!H$86=E$9,Employee!D$87+SUM(N13)+'Aug23'!W43,SUM(N13)+'Aug23'!W43)</f>
        <v>0</v>
      </c>
      <c r="X13" s="49">
        <f>IF(O13=" ",'Aug23'!X43,O13+'Aug23'!X43)</f>
        <v>0</v>
      </c>
      <c r="Y13" s="49">
        <f>IF(P13=" ",'Aug23'!Y43,P13+'Aug23'!Y43)</f>
        <v>0</v>
      </c>
      <c r="Z13" s="49">
        <f>IF(Q13=" ",'Aug23'!Z43,Q13+'Aug23'!Z43)</f>
        <v>0</v>
      </c>
      <c r="AA13" s="49">
        <f>IF(R13=" ",'Aug23'!AA43,R13+'Aug23'!AA43)</f>
        <v>0</v>
      </c>
      <c r="AC13" s="49">
        <f>IF(T13=" ",'Aug23'!AC43,T13+'Aug23'!AC43)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IF(T$9="Y",'Aug23'!H44,0)</f>
        <v>0</v>
      </c>
      <c r="I14" s="92">
        <f>IF(T$9="Y",'Aug23'!I44,0)</f>
        <v>0</v>
      </c>
      <c r="J14" s="92">
        <f>IF(T$9="Y",'Aug23'!J44,0)</f>
        <v>0</v>
      </c>
      <c r="K14" s="92">
        <f>IF(T$9="Y",'Aug23'!K44,I14*J14)</f>
        <v>0</v>
      </c>
      <c r="L14" s="111">
        <f>IF(T$9="Y",'Aug23'!L44,0)</f>
        <v>0</v>
      </c>
      <c r="M14" s="111" t="str">
        <f>IF(E14=" "," ",IF(T$9="Y",'Aug23'!M44,IF((H14+K14+L14)&gt;0,H14+K14+L14,"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IF(Employee!H$112=E$9,Employee!D$112+SUM(M14)+'Aug23'!V44,SUM(M14)+'Aug23'!V44)</f>
        <v>0</v>
      </c>
      <c r="W14" s="49">
        <f>IF(Employee!H$112=E$9,Employee!D$113+SUM(N14)+'Aug23'!W44,SUM(N14)+'Aug23'!W44)</f>
        <v>0</v>
      </c>
      <c r="X14" s="49">
        <f>IF(O14=" ",'Aug23'!X44,O14+'Aug23'!X44)</f>
        <v>0</v>
      </c>
      <c r="Y14" s="49">
        <f>IF(P14=" ",'Aug23'!Y44,P14+'Aug23'!Y44)</f>
        <v>0</v>
      </c>
      <c r="Z14" s="49">
        <f>IF(Q14=" ",'Aug23'!Z44,Q14+'Aug23'!Z44)</f>
        <v>0</v>
      </c>
      <c r="AA14" s="49">
        <f>IF(R14=" ",'Aug23'!AA44,R14+'Aug23'!AA44)</f>
        <v>0</v>
      </c>
      <c r="AC14" s="49">
        <f>IF(T14=" ",'Aug23'!AC44,T14+'Aug23'!AC44)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IF(T$9="Y",'Aug23'!H45,0)</f>
        <v>0</v>
      </c>
      <c r="I15" s="245">
        <f>IF(T$9="Y",'Aug23'!I45,0)</f>
        <v>0</v>
      </c>
      <c r="J15" s="245">
        <f>IF(T$9="Y",'Aug23'!J45,0)</f>
        <v>0</v>
      </c>
      <c r="K15" s="245">
        <f>IF(T$9="Y",'Aug23'!K45,I15*J15)</f>
        <v>0</v>
      </c>
      <c r="L15" s="246">
        <f>IF(T$9="Y",'Aug23'!L45,0)</f>
        <v>0</v>
      </c>
      <c r="M15" s="111" t="str">
        <f>IF(E15=" "," ",IF(T$9="Y",'Aug23'!M45,IF((H15+K15+L15)&gt;0,H15+K15+L15,"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IF(Employee!H$138=E$9,Employee!D$138+SUM(M15)+'Aug23'!V45,SUM(M15)+'Aug23'!V45)</f>
        <v>0</v>
      </c>
      <c r="W15" s="49">
        <f>IF(Employee!H$138=E$9,Employee!D$139+SUM(N15)+'Aug23'!W45,SUM(N15)+'Aug23'!W45)</f>
        <v>0</v>
      </c>
      <c r="X15" s="49">
        <f>IF(O15=" ",'Aug23'!X45,O15+'Aug23'!X45)</f>
        <v>0</v>
      </c>
      <c r="Y15" s="49">
        <f>IF(P15=" ",'Aug23'!Y45,P15+'Aug23'!Y45)</f>
        <v>0</v>
      </c>
      <c r="Z15" s="49">
        <f>IF(Q15=" ",'Aug23'!Z45,Q15+'Aug23'!Z45)</f>
        <v>0</v>
      </c>
      <c r="AA15" s="49">
        <f>IF(R15=" ",'Aug23'!AA45,R15+'Aug23'!AA45)</f>
        <v>0</v>
      </c>
      <c r="AC15" s="49">
        <f>IF(T15=" ",'Aug23'!AC45,T15+'Aug23'!AC45)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23</v>
      </c>
      <c r="F19" s="35"/>
      <c r="G19" s="35"/>
      <c r="H19" s="361" t="s">
        <v>28</v>
      </c>
      <c r="I19" s="362"/>
      <c r="J19" s="360"/>
      <c r="K19" s="204">
        <f>M9+1</f>
        <v>45174</v>
      </c>
      <c r="L19" s="203" t="s">
        <v>76</v>
      </c>
      <c r="M19" s="205">
        <f>K19+6</f>
        <v>45180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24</v>
      </c>
      <c r="F29" s="35"/>
      <c r="G29" s="35"/>
      <c r="H29" s="361" t="s">
        <v>28</v>
      </c>
      <c r="I29" s="362"/>
      <c r="J29" s="360"/>
      <c r="K29" s="204">
        <f>M19+1</f>
        <v>45181</v>
      </c>
      <c r="L29" s="203" t="s">
        <v>76</v>
      </c>
      <c r="M29" s="205">
        <f>K29+6</f>
        <v>45187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25</v>
      </c>
      <c r="F39" s="35"/>
      <c r="G39" s="35"/>
      <c r="H39" s="361" t="s">
        <v>28</v>
      </c>
      <c r="I39" s="440"/>
      <c r="J39" s="441"/>
      <c r="K39" s="204">
        <f>M29+1</f>
        <v>45188</v>
      </c>
      <c r="L39" s="203" t="s">
        <v>76</v>
      </c>
      <c r="M39" s="205">
        <f>K39+6</f>
        <v>45194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26</v>
      </c>
      <c r="F49" s="35"/>
      <c r="G49" s="35"/>
      <c r="H49" s="361" t="s">
        <v>28</v>
      </c>
      <c r="I49" s="440"/>
      <c r="J49" s="441"/>
      <c r="K49" s="204">
        <f>Admin!B175</f>
        <v>45195</v>
      </c>
      <c r="L49" s="203" t="s">
        <v>76</v>
      </c>
      <c r="M49" s="205">
        <f>K49+6</f>
        <v>45201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6</v>
      </c>
      <c r="F59" s="35"/>
      <c r="G59" s="35"/>
      <c r="H59" s="361" t="s">
        <v>28</v>
      </c>
      <c r="I59" s="362"/>
      <c r="J59" s="360"/>
      <c r="K59" s="204">
        <f>Admin!B150</f>
        <v>45170</v>
      </c>
      <c r="L59" s="203" t="s">
        <v>76</v>
      </c>
      <c r="M59" s="205">
        <f>Admin!B179</f>
        <v>45199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IF(T$59="Y",'Aug23'!H51,0)</f>
        <v>0</v>
      </c>
      <c r="I61" s="89">
        <f>IF(T$59="Y",'Aug23'!I51,0)</f>
        <v>0</v>
      </c>
      <c r="J61" s="89">
        <f>IF(T$59="Y",'Aug23'!J51,0)</f>
        <v>0</v>
      </c>
      <c r="K61" s="89">
        <f>IF(T$59="Y",'Aug23'!K51,I61*J61)</f>
        <v>0</v>
      </c>
      <c r="L61" s="110">
        <f>IF(T$59="Y",'Aug23'!L51,0)</f>
        <v>0</v>
      </c>
      <c r="M61" s="99" t="str">
        <f>IF(E61=" "," ",IF(T$59="Y",'Aug23'!M51,IF((H61+K61+L61)&gt;0,H61+K61+L61,"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IF(Employee!H$35=E$59,Employee!D$34+SUM(M61)+'Aug23'!V51,SUM(M61)+'Aug23'!V51)</f>
        <v>0</v>
      </c>
      <c r="W61" s="49">
        <f>IF(Employee!H$35=E$59,Employee!D$35+SUM(N61)+'Aug23'!W51,SUM(N61)+'Aug23'!W51)</f>
        <v>0</v>
      </c>
      <c r="X61" s="49">
        <f>IF(O61=" ",'Aug23'!X51,O61+'Aug23'!X51)</f>
        <v>0</v>
      </c>
      <c r="Y61" s="49">
        <f>IF(P61=" ",'Aug23'!Y51,P61+'Aug23'!Y51)</f>
        <v>0</v>
      </c>
      <c r="Z61" s="49">
        <f>IF(Q61=" ",'Aug23'!Z51,Q61+'Aug23'!Z51)</f>
        <v>0</v>
      </c>
      <c r="AA61" s="49">
        <f>IF(R61=" ",'Aug23'!AA51,R61+'Aug23'!AA51)</f>
        <v>0</v>
      </c>
      <c r="AC61" s="49">
        <f>IF(T61=" ",'Aug23'!AC51,T61+'Aug23'!AC51)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IF(T$59="Y",'Aug23'!H52,0)</f>
        <v>0</v>
      </c>
      <c r="I62" s="92">
        <f>IF(T$59="Y",'Aug23'!I52,0)</f>
        <v>0</v>
      </c>
      <c r="J62" s="92">
        <f>IF(T$59="Y",'Aug23'!J52,0)</f>
        <v>0</v>
      </c>
      <c r="K62" s="92">
        <f>IF(T$59="Y",'Aug23'!K52,I62*J62)</f>
        <v>0</v>
      </c>
      <c r="L62" s="111">
        <f>IF(T$59="Y",'Aug23'!L52,0)</f>
        <v>0</v>
      </c>
      <c r="M62" s="100" t="str">
        <f>IF(E62=" "," ",IF(T$59="Y",'Aug23'!M52,IF((H62+K62+L62)&gt;0,H62+K62+L62,"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IF(Employee!H$61=E$59,Employee!D$60+SUM(M62)+'Aug23'!V52,SUM(M62)+'Aug23'!V52)</f>
        <v>0</v>
      </c>
      <c r="W62" s="49">
        <f>IF(Employee!H$61=E$59,Employee!D$61+SUM(N62)+'Aug23'!W52,SUM(N62)+'Aug23'!W52)</f>
        <v>0</v>
      </c>
      <c r="X62" s="49">
        <f>IF(O62=" ",'Aug23'!X52,O62+'Aug23'!X52)</f>
        <v>0</v>
      </c>
      <c r="Y62" s="49">
        <f>IF(P62=" ",'Aug23'!Y52,P62+'Aug23'!Y52)</f>
        <v>0</v>
      </c>
      <c r="Z62" s="49">
        <f>IF(Q62=" ",'Aug23'!Z52,Q62+'Aug23'!Z52)</f>
        <v>0</v>
      </c>
      <c r="AA62" s="49">
        <f>IF(R62=" ",'Aug23'!AA52,R62+'Aug23'!AA52)</f>
        <v>0</v>
      </c>
      <c r="AC62" s="49">
        <f>IF(T62=" ",'Aug23'!AC52,T62+'Aug23'!AC52)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IF(T$59="Y",'Aug23'!H53,0)</f>
        <v>0</v>
      </c>
      <c r="I63" s="92">
        <f>IF(T$59="Y",'Aug23'!I53,0)</f>
        <v>0</v>
      </c>
      <c r="J63" s="92">
        <f>IF(T$59="Y",'Aug23'!J53,0)</f>
        <v>0</v>
      </c>
      <c r="K63" s="92">
        <f>IF(T$59="Y",'Aug23'!K53,I63*J63)</f>
        <v>0</v>
      </c>
      <c r="L63" s="111">
        <f>IF(T$59="Y",'Aug23'!L53,0)</f>
        <v>0</v>
      </c>
      <c r="M63" s="100" t="str">
        <f>IF(E63=" "," ",IF(T$59="Y",'Aug23'!M53,IF((H63+K63+L63)&gt;0,H63+K63+L63,"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IF(Employee!H$87=E$59,Employee!D$86+SUM(M63)+'Aug23'!V53,SUM(M63)+'Aug23'!V53)</f>
        <v>0</v>
      </c>
      <c r="W63" s="49">
        <f>IF(Employee!H$87=E$59,Employee!D$87+SUM(N63)+'Aug23'!W53,SUM(N63)+'Aug23'!W53)</f>
        <v>0</v>
      </c>
      <c r="X63" s="49">
        <f>IF(O63=" ",'Aug23'!X53,O63+'Aug23'!X53)</f>
        <v>0</v>
      </c>
      <c r="Y63" s="49">
        <f>IF(P63=" ",'Aug23'!Y53,P63+'Aug23'!Y53)</f>
        <v>0</v>
      </c>
      <c r="Z63" s="49">
        <f>IF(Q63=" ",'Aug23'!Z53,Q63+'Aug23'!Z53)</f>
        <v>0</v>
      </c>
      <c r="AA63" s="49">
        <f>IF(R63=" ",'Aug23'!AA53,R63+'Aug23'!AA53)</f>
        <v>0</v>
      </c>
      <c r="AC63" s="49">
        <f>IF(T63=" ",'Aug23'!AC53,T63+'Aug23'!AC53)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IF(T$59="Y",'Aug23'!H54,0)</f>
        <v>0</v>
      </c>
      <c r="I64" s="92">
        <f>IF(T$59="Y",'Aug23'!I54,0)</f>
        <v>0</v>
      </c>
      <c r="J64" s="92">
        <f>IF(T$59="Y",'Aug23'!J54,0)</f>
        <v>0</v>
      </c>
      <c r="K64" s="92">
        <f>IF(T$59="Y",'Aug23'!K54,I64*J64)</f>
        <v>0</v>
      </c>
      <c r="L64" s="111">
        <f>IF(T$59="Y",'Aug23'!L54,0)</f>
        <v>0</v>
      </c>
      <c r="M64" s="100" t="str">
        <f>IF(E64=" "," ",IF(T$59="Y",'Aug23'!M54,IF((H64+K64+L64)&gt;0,H64+K64+L64,"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IF(Employee!H$113=E$59,Employee!D$112+SUM(M64)+'Aug23'!V54,SUM(M64)+'Aug23'!V54)</f>
        <v>0</v>
      </c>
      <c r="W64" s="49">
        <f>IF(Employee!H$113=E$59,Employee!D$113+SUM(N64)+'Aug23'!W54,SUM(N64)+'Aug23'!W54)</f>
        <v>0</v>
      </c>
      <c r="X64" s="49">
        <f>IF(O64=" ",'Aug23'!X54,O64+'Aug23'!X54)</f>
        <v>0</v>
      </c>
      <c r="Y64" s="49">
        <f>IF(P64=" ",'Aug23'!Y54,P64+'Aug23'!Y54)</f>
        <v>0</v>
      </c>
      <c r="Z64" s="49">
        <f>IF(Q64=" ",'Aug23'!Z54,Q64+'Aug23'!Z54)</f>
        <v>0</v>
      </c>
      <c r="AA64" s="49">
        <f>IF(R64=" ",'Aug23'!AA54,R64+'Aug23'!AA54)</f>
        <v>0</v>
      </c>
      <c r="AC64" s="49">
        <f>IF(T64=" ",'Aug23'!AC54,T64+'Aug23'!AC54)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IF(T$59="Y",'Aug23'!H55,0)</f>
        <v>0</v>
      </c>
      <c r="I65" s="245">
        <f>IF(T$59="Y",'Aug23'!I55,0)</f>
        <v>0</v>
      </c>
      <c r="J65" s="245">
        <f>IF(T$59="Y",'Aug23'!J55,0)</f>
        <v>0</v>
      </c>
      <c r="K65" s="245">
        <f>IF(T$59="Y",'Aug23'!K55,I65*J65)</f>
        <v>0</v>
      </c>
      <c r="L65" s="246">
        <f>IF(T$59="Y",'Aug23'!L55,0)</f>
        <v>0</v>
      </c>
      <c r="M65" s="100" t="str">
        <f>IF(E65=" "," ",IF(T$59="Y",'Aug23'!M55,IF((H65+K65+L65)&gt;0,H65+K65+L65,"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IF(Employee!H$139=E$59,Employee!D$138+SUM(M65)+'Aug23'!V55,SUM(M65)+'Aug23'!V55)</f>
        <v>0</v>
      </c>
      <c r="W65" s="49">
        <f>IF(Employee!H$139=E$59,Employee!D$139+SUM(N65)+'Aug23'!W55,SUM(N65)+'Aug23'!W55)</f>
        <v>0</v>
      </c>
      <c r="X65" s="49">
        <f>IF(O65=" ",'Aug23'!X55,O65+'Aug23'!X55)</f>
        <v>0</v>
      </c>
      <c r="Y65" s="49">
        <f>IF(P65=" ",'Aug23'!Y55,P65+'Aug23'!Y55)</f>
        <v>0</v>
      </c>
      <c r="Z65" s="49">
        <f>IF(Q65=" ",'Aug23'!Z55,Q65+'Aug23'!Z55)</f>
        <v>0</v>
      </c>
      <c r="AA65" s="49">
        <f>IF(R65=" ",'Aug23'!AA55,R65+'Aug23'!AA55)</f>
        <v>0</v>
      </c>
      <c r="AC65" s="49">
        <f>IF(T65=" ",'Aug23'!AC55,T65+'Aug23'!AC55)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AD70+'Aug23'!AD65</f>
        <v>0</v>
      </c>
      <c r="AE75" s="158">
        <f>AE70+'Aug23'!AE65</f>
        <v>0</v>
      </c>
      <c r="AF75" s="158">
        <f>AF70+'Aug23'!AF65</f>
        <v>0</v>
      </c>
      <c r="AG75" s="158">
        <f>AG70+'Aug23'!AG65</f>
        <v>0</v>
      </c>
    </row>
    <row r="76" spans="1:34" ht="14" thickTop="1" x14ac:dyDescent="0.15"/>
    <row r="77" spans="1:34" x14ac:dyDescent="0.15">
      <c r="AD77" s="162"/>
      <c r="AE77" s="158">
        <f>AE72+'Aug23'!AE67</f>
        <v>0</v>
      </c>
      <c r="AF77" s="158">
        <f>AF72+'Aug23'!AF67</f>
        <v>0</v>
      </c>
      <c r="AG77" s="158">
        <f>AG72+'Aug23'!AG67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438"/>
      <c r="D8" s="438"/>
      <c r="E8" s="439"/>
      <c r="F8" s="32"/>
      <c r="G8" s="32"/>
      <c r="H8" s="32"/>
      <c r="I8" s="32"/>
      <c r="J8" s="32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440"/>
      <c r="D9" s="441"/>
      <c r="E9" s="156">
        <v>27</v>
      </c>
      <c r="F9" s="35"/>
      <c r="G9" s="35"/>
      <c r="H9" s="361" t="s">
        <v>28</v>
      </c>
      <c r="I9" s="440"/>
      <c r="J9" s="441"/>
      <c r="K9" s="204">
        <f>Admin!B182</f>
        <v>45202</v>
      </c>
      <c r="L9" s="203" t="s">
        <v>76</v>
      </c>
      <c r="M9" s="205">
        <f>Admin!B188</f>
        <v>45208</v>
      </c>
      <c r="N9" s="20"/>
      <c r="O9" s="402" t="s">
        <v>63</v>
      </c>
      <c r="P9" s="442"/>
      <c r="Q9" s="442"/>
      <c r="R9" s="443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IF(T$9="Y",'Sep23'!H51,0)</f>
        <v>0</v>
      </c>
      <c r="I11" s="89">
        <f>IF(T$9="Y",'Sep23'!I51,0)</f>
        <v>0</v>
      </c>
      <c r="J11" s="89">
        <f>IF(T$9="Y",'Sep23'!J51,0)</f>
        <v>0</v>
      </c>
      <c r="K11" s="89">
        <f>IF(T$9="Y",'Sep23'!K51,I11*J11)</f>
        <v>0</v>
      </c>
      <c r="L11" s="110">
        <f>IF(T$9="Y",'Sep23'!L51,0)</f>
        <v>0</v>
      </c>
      <c r="M11" s="99" t="str">
        <f>IF(E11=" "," ",IF(T$9="Y",'Sep23'!M51,IF((H11+K11+L11)&gt;0,H11+K11+L11,"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IF(Employee!H$34=E$9,Employee!D$34+SUM(M11)+'Sep23'!V51,SUM(M11)+'Sep23'!V51)</f>
        <v>0</v>
      </c>
      <c r="W11" s="49">
        <f>IF(Employee!H$34=E$9,Employee!D$35+SUM(N11)+'Sep23'!W51,SUM(N11)+'Sep23'!W51)</f>
        <v>0</v>
      </c>
      <c r="X11" s="49">
        <f>IF(O11=" ",'Sep23'!X51,O11+'Sep23'!X51)</f>
        <v>0</v>
      </c>
      <c r="Y11" s="49">
        <f>IF(P11=" ",'Sep23'!Y51,P11+'Sep23'!Y51)</f>
        <v>0</v>
      </c>
      <c r="Z11" s="49">
        <f>IF(Q11=" ",'Sep23'!Z51,Q11+'Sep23'!Z51)</f>
        <v>0</v>
      </c>
      <c r="AA11" s="49">
        <f>IF(R11=" ",'Sep23'!AA51,R11+'Sep23'!AA51)</f>
        <v>0</v>
      </c>
      <c r="AC11" s="49">
        <f>IF(T11=" ",'Sep23'!AC51,T11+'Sep23'!AC51)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IF(T$9="Y",'Sep23'!H52,0)</f>
        <v>0</v>
      </c>
      <c r="I12" s="92">
        <f>IF(T$9="Y",'Sep23'!I52,0)</f>
        <v>0</v>
      </c>
      <c r="J12" s="92">
        <f>IF(T$9="Y",'Sep23'!J52,0)</f>
        <v>0</v>
      </c>
      <c r="K12" s="92">
        <f>IF(T$9="Y",'Sep23'!K52,I12*J12)</f>
        <v>0</v>
      </c>
      <c r="L12" s="111">
        <f>IF(T$9="Y",'Sep23'!L52,0)</f>
        <v>0</v>
      </c>
      <c r="M12" s="100" t="str">
        <f>IF(E12=" "," ",IF(T$9="Y",'Sep23'!M52,IF((H12+K12+L12)&gt;0,H12+K12+L12,"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IF(Employee!H$60=E$9,Employee!D$60+SUM(M12)+'Sep23'!V52,SUM(M12)+'Sep23'!V52)</f>
        <v>0</v>
      </c>
      <c r="W12" s="49">
        <f>IF(Employee!H$60=E$9,Employee!D$61+SUM(N12)+'Sep23'!W52,SUM(N12)+'Sep23'!W52)</f>
        <v>0</v>
      </c>
      <c r="X12" s="49">
        <f>IF(O12=" ",'Sep23'!X52,O12+'Sep23'!X52)</f>
        <v>0</v>
      </c>
      <c r="Y12" s="49">
        <f>IF(P12=" ",'Sep23'!Y52,P12+'Sep23'!Y52)</f>
        <v>0</v>
      </c>
      <c r="Z12" s="49">
        <f>IF(Q12=" ",'Sep23'!Z52,Q12+'Sep23'!Z52)</f>
        <v>0</v>
      </c>
      <c r="AA12" s="49">
        <f>IF(R12=" ",'Sep23'!AA52,R12+'Sep23'!AA52)</f>
        <v>0</v>
      </c>
      <c r="AC12" s="49">
        <f>IF(T12=" ",'Sep23'!AC52,T12+'Sep23'!AC52)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IF(T$9="Y",'Sep23'!H53,0)</f>
        <v>0</v>
      </c>
      <c r="I13" s="92">
        <f>IF(T$9="Y",'Sep23'!I53,0)</f>
        <v>0</v>
      </c>
      <c r="J13" s="92">
        <f>IF(T$9="Y",'Sep23'!J53,0)</f>
        <v>0</v>
      </c>
      <c r="K13" s="92">
        <f>IF(T$9="Y",'Sep23'!K53,I13*J13)</f>
        <v>0</v>
      </c>
      <c r="L13" s="111">
        <f>IF(T$9="Y",'Sep23'!L53,0)</f>
        <v>0</v>
      </c>
      <c r="M13" s="100" t="str">
        <f>IF(E13=" "," ",IF(T$9="Y",'Sep23'!M53,IF((H13+K13+L13)&gt;0,H13+K13+L13,"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IF(Employee!H$86=E$9,Employee!D$86+SUM(M13)+'Sep23'!V53,SUM(M13)+'Sep23'!V53)</f>
        <v>0</v>
      </c>
      <c r="W13" s="49">
        <f>IF(Employee!H$86=E$9,Employee!D$87+SUM(N13)+'Sep23'!W53,SUM(N13)+'Sep23'!W53)</f>
        <v>0</v>
      </c>
      <c r="X13" s="49">
        <f>IF(O13=" ",'Sep23'!X53,O13+'Sep23'!X53)</f>
        <v>0</v>
      </c>
      <c r="Y13" s="49">
        <f>IF(P13=" ",'Sep23'!Y53,P13+'Sep23'!Y53)</f>
        <v>0</v>
      </c>
      <c r="Z13" s="49">
        <f>IF(Q13=" ",'Sep23'!Z53,Q13+'Sep23'!Z53)</f>
        <v>0</v>
      </c>
      <c r="AA13" s="49">
        <f>IF(R13=" ",'Sep23'!AA53,R13+'Sep23'!AA53)</f>
        <v>0</v>
      </c>
      <c r="AC13" s="49">
        <f>IF(T13=" ",'Sep23'!AC53,T13+'Sep23'!AC53)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IF(T$9="Y",'Sep23'!H54,0)</f>
        <v>0</v>
      </c>
      <c r="I14" s="92">
        <f>IF(T$9="Y",'Sep23'!I54,0)</f>
        <v>0</v>
      </c>
      <c r="J14" s="92">
        <f>IF(T$9="Y",'Sep23'!J54,0)</f>
        <v>0</v>
      </c>
      <c r="K14" s="92">
        <f>IF(T$9="Y",'Sep23'!K54,I14*J14)</f>
        <v>0</v>
      </c>
      <c r="L14" s="111">
        <f>IF(T$9="Y",'Sep23'!L54,0)</f>
        <v>0</v>
      </c>
      <c r="M14" s="100" t="str">
        <f>IF(E14=" "," ",IF(T$9="Y",'Sep23'!M54,IF((H14+K14+L14)&gt;0,H14+K14+L14,"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IF(Employee!H$112=E$9,Employee!D$112+SUM(M14)+'Sep23'!V54,SUM(M14)+'Sep23'!V54)</f>
        <v>0</v>
      </c>
      <c r="W14" s="49">
        <f>IF(Employee!H$112=E$9,Employee!D$113+SUM(N14)+'Sep23'!W54,SUM(N14)+'Sep23'!W54)</f>
        <v>0</v>
      </c>
      <c r="X14" s="49">
        <f>IF(O14=" ",'Sep23'!X54,O14+'Sep23'!X54)</f>
        <v>0</v>
      </c>
      <c r="Y14" s="49">
        <f>IF(P14=" ",'Sep23'!Y54,P14+'Sep23'!Y54)</f>
        <v>0</v>
      </c>
      <c r="Z14" s="49">
        <f>IF(Q14=" ",'Sep23'!Z54,Q14+'Sep23'!Z54)</f>
        <v>0</v>
      </c>
      <c r="AA14" s="49">
        <f>IF(R14=" ",'Sep23'!AA54,R14+'Sep23'!AA54)</f>
        <v>0</v>
      </c>
      <c r="AC14" s="49">
        <f>IF(T14=" ",'Sep23'!AC54,T14+'Sep23'!AC54)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IF(T$9="Y",'Sep23'!H55,0)</f>
        <v>0</v>
      </c>
      <c r="I15" s="245">
        <f>IF(T$9="Y",'Sep23'!I55,0)</f>
        <v>0</v>
      </c>
      <c r="J15" s="245">
        <f>IF(T$9="Y",'Sep23'!J55,0)</f>
        <v>0</v>
      </c>
      <c r="K15" s="245">
        <f>IF(T$9="Y",'Sep23'!K55,I15*J15)</f>
        <v>0</v>
      </c>
      <c r="L15" s="246">
        <f>IF(T$9="Y",'Sep23'!L55,0)</f>
        <v>0</v>
      </c>
      <c r="M15" s="247" t="str">
        <f>IF(E15=" "," ",IF(T$9="Y",'Sep23'!M55,IF((H15+K15+L15)&gt;0,H15+K15+L15,"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IF(Employee!H$138=E$9,Employee!D$138+SUM(M15)+'Sep23'!V55,SUM(M15)+'Sep23'!V55)</f>
        <v>0</v>
      </c>
      <c r="W15" s="49">
        <f>IF(Employee!H$138=E$9,Employee!D$139+SUM(N15)+'Sep23'!W55,SUM(N15)+'Sep23'!W55)</f>
        <v>0</v>
      </c>
      <c r="X15" s="49">
        <f>IF(O15=" ",'Sep23'!X55,O15+'Sep23'!X55)</f>
        <v>0</v>
      </c>
      <c r="Y15" s="49">
        <f>IF(P15=" ",'Sep23'!Y55,P15+'Sep23'!Y55)</f>
        <v>0</v>
      </c>
      <c r="Z15" s="49">
        <f>IF(Q15=" ",'Sep23'!Z55,Q15+'Sep23'!Z55)</f>
        <v>0</v>
      </c>
      <c r="AA15" s="49">
        <f>IF(R15=" ",'Sep23'!AA55,R15+'Sep23'!AA55)</f>
        <v>0</v>
      </c>
      <c r="AC15" s="49">
        <f>IF(T15=" ",'Sep23'!AC55,T15+'Sep23'!AC55)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444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86"/>
      <c r="H18" s="87"/>
      <c r="I18" s="87"/>
      <c r="J18" s="87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28</v>
      </c>
      <c r="F19" s="35"/>
      <c r="G19" s="35"/>
      <c r="H19" s="361" t="s">
        <v>28</v>
      </c>
      <c r="I19" s="362"/>
      <c r="J19" s="360"/>
      <c r="K19" s="204">
        <f>M9+1</f>
        <v>45209</v>
      </c>
      <c r="L19" s="203" t="s">
        <v>76</v>
      </c>
      <c r="M19" s="205">
        <f>K19+6</f>
        <v>45215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2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29</v>
      </c>
      <c r="F29" s="35"/>
      <c r="G29" s="35"/>
      <c r="H29" s="361" t="s">
        <v>28</v>
      </c>
      <c r="I29" s="362"/>
      <c r="J29" s="360"/>
      <c r="K29" s="204">
        <f>M19+1</f>
        <v>45216</v>
      </c>
      <c r="L29" s="203" t="s">
        <v>76</v>
      </c>
      <c r="M29" s="205">
        <f>K29+6</f>
        <v>45222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62"/>
      <c r="D38" s="362"/>
      <c r="E38" s="360"/>
      <c r="F38" s="32"/>
      <c r="G38" s="32"/>
      <c r="H38" s="43"/>
      <c r="I38" s="43"/>
      <c r="J38" s="43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362"/>
      <c r="D39" s="360"/>
      <c r="E39" s="156">
        <v>30</v>
      </c>
      <c r="F39" s="35"/>
      <c r="G39" s="35"/>
      <c r="H39" s="361" t="s">
        <v>28</v>
      </c>
      <c r="I39" s="362"/>
      <c r="J39" s="360"/>
      <c r="K39" s="204">
        <f>M29+1</f>
        <v>45223</v>
      </c>
      <c r="L39" s="203" t="s">
        <v>76</v>
      </c>
      <c r="M39" s="205">
        <f>K39+6</f>
        <v>45229</v>
      </c>
      <c r="N39" s="20"/>
      <c r="O39" s="402" t="s">
        <v>63</v>
      </c>
      <c r="P39" s="403"/>
      <c r="Q39" s="403"/>
      <c r="R39" s="40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360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7</v>
      </c>
      <c r="F49" s="35"/>
      <c r="G49" s="35"/>
      <c r="H49" s="361" t="s">
        <v>28</v>
      </c>
      <c r="I49" s="362"/>
      <c r="J49" s="360"/>
      <c r="K49" s="204">
        <f>Admin!B180</f>
        <v>45200</v>
      </c>
      <c r="L49" s="203" t="s">
        <v>76</v>
      </c>
      <c r="M49" s="205">
        <f>Admin!B210</f>
        <v>45230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IF(T$49="Y",'Sep23'!H61,0)</f>
        <v>0</v>
      </c>
      <c r="I51" s="89">
        <f>IF(T$49="Y",'Sep23'!I61,0)</f>
        <v>0</v>
      </c>
      <c r="J51" s="89">
        <f>IF(T$49="Y",'Sep23'!J61,0)</f>
        <v>0</v>
      </c>
      <c r="K51" s="89">
        <f>IF(T$49="Y",'Sep23'!K61,I51*J51)</f>
        <v>0</v>
      </c>
      <c r="L51" s="110">
        <f>IF(T$49="Y",'Sep23'!L61,0)</f>
        <v>0</v>
      </c>
      <c r="M51" s="99" t="str">
        <f>IF(E51=" "," ",IF(T$49="Y",'Sep23'!M61,IF((H51+K51+L51)&gt;0,H51+K51+L51,"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IF(Employee!H$35=E$49,Employee!D$34+SUM(M51)+'Sep23'!V61,SUM(M51)+'Sep23'!V61)</f>
        <v>0</v>
      </c>
      <c r="W51" s="49">
        <f>IF(Employee!H$35=E$49,Employee!D$35+SUM(N51)+'Sep23'!W61,SUM(N51)+'Sep23'!W61)</f>
        <v>0</v>
      </c>
      <c r="X51" s="49">
        <f>IF(O51=" ",'Sep23'!X61,O51+'Sep23'!X61)</f>
        <v>0</v>
      </c>
      <c r="Y51" s="49">
        <f>IF(P51=" ",'Sep23'!Y61,P51+'Sep23'!Y61)</f>
        <v>0</v>
      </c>
      <c r="Z51" s="49">
        <f>IF(Q51=" ",'Sep23'!Z61,Q51+'Sep23'!Z61)</f>
        <v>0</v>
      </c>
      <c r="AA51" s="49">
        <f>IF(R51=" ",'Sep23'!AA61,R51+'Sep23'!AA61)</f>
        <v>0</v>
      </c>
      <c r="AC51" s="49">
        <f>IF(T51=" ",'Sep23'!AC61,T51+'Sep23'!AC61)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IF(T$49="Y",'Sep23'!H62,0)</f>
        <v>0</v>
      </c>
      <c r="I52" s="92">
        <f>IF(T$49="Y",'Sep23'!I62,0)</f>
        <v>0</v>
      </c>
      <c r="J52" s="92">
        <f>IF(T$49="Y",'Sep23'!J62,0)</f>
        <v>0</v>
      </c>
      <c r="K52" s="92">
        <f>IF(T$49="Y",'Sep23'!K62,I52*J52)</f>
        <v>0</v>
      </c>
      <c r="L52" s="111">
        <f>IF(T$49="Y",'Sep23'!L62,0)</f>
        <v>0</v>
      </c>
      <c r="M52" s="100" t="str">
        <f>IF(E52=" "," ",IF(T$49="Y",'Sep23'!M62,IF((H52+K52+L52)&gt;0,H52+K52+L52,"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IF(Employee!H$61=E$49,Employee!D$60+SUM(M52)+'Sep23'!V62,SUM(M52)+'Sep23'!V62)</f>
        <v>0</v>
      </c>
      <c r="W52" s="49">
        <f>IF(Employee!H$61=E$49,Employee!D$61+SUM(N52)+'Sep23'!W62,SUM(N52)+'Sep23'!W62)</f>
        <v>0</v>
      </c>
      <c r="X52" s="49">
        <f>IF(O52=" ",'Sep23'!X62,O52+'Sep23'!X62)</f>
        <v>0</v>
      </c>
      <c r="Y52" s="49">
        <f>IF(P52=" ",'Sep23'!Y62,P52+'Sep23'!Y62)</f>
        <v>0</v>
      </c>
      <c r="Z52" s="49">
        <f>IF(Q52=" ",'Sep23'!Z62,Q52+'Sep23'!Z62)</f>
        <v>0</v>
      </c>
      <c r="AA52" s="49">
        <f>IF(R52=" ",'Sep23'!AA62,R52+'Sep23'!AA62)</f>
        <v>0</v>
      </c>
      <c r="AC52" s="49">
        <f>IF(T52=" ",'Sep23'!AC62,T52+'Sep23'!AC62)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IF(T$49="Y",'Sep23'!H63,0)</f>
        <v>0</v>
      </c>
      <c r="I53" s="92">
        <f>IF(T$49="Y",'Sep23'!I63,0)</f>
        <v>0</v>
      </c>
      <c r="J53" s="92">
        <f>IF(T$49="Y",'Sep23'!J63,0)</f>
        <v>0</v>
      </c>
      <c r="K53" s="92">
        <f>IF(T$49="Y",'Sep23'!K63,I53*J53)</f>
        <v>0</v>
      </c>
      <c r="L53" s="111">
        <f>IF(T$49="Y",'Sep23'!L63,0)</f>
        <v>0</v>
      </c>
      <c r="M53" s="100" t="str">
        <f>IF(E53=" "," ",IF(T$49="Y",'Sep23'!M63,IF((H53+K53+L53)&gt;0,H53+K53+L53,"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IF(Employee!H$87=E$49,Employee!D$86+SUM(M53)+'Sep23'!V63,SUM(M53)+'Sep23'!V63)</f>
        <v>0</v>
      </c>
      <c r="W53" s="49">
        <f>IF(Employee!H$87=E$49,Employee!D$87+SUM(N53)+'Sep23'!W63,SUM(N53)+'Sep23'!W63)</f>
        <v>0</v>
      </c>
      <c r="X53" s="49">
        <f>IF(O53=" ",'Sep23'!X63,O53+'Sep23'!X63)</f>
        <v>0</v>
      </c>
      <c r="Y53" s="49">
        <f>IF(P53=" ",'Sep23'!Y63,P53+'Sep23'!Y63)</f>
        <v>0</v>
      </c>
      <c r="Z53" s="49">
        <f>IF(Q53=" ",'Sep23'!Z63,Q53+'Sep23'!Z63)</f>
        <v>0</v>
      </c>
      <c r="AA53" s="49">
        <f>IF(R53=" ",'Sep23'!AA63,R53+'Sep23'!AA63)</f>
        <v>0</v>
      </c>
      <c r="AC53" s="49">
        <f>IF(T53=" ",'Sep23'!AC63,T53+'Sep23'!AC63)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IF(T$49="Y",'Sep23'!H64,0)</f>
        <v>0</v>
      </c>
      <c r="I54" s="92">
        <f>IF(T$49="Y",'Sep23'!I64,0)</f>
        <v>0</v>
      </c>
      <c r="J54" s="92">
        <f>IF(T$49="Y",'Sep23'!J64,0)</f>
        <v>0</v>
      </c>
      <c r="K54" s="92">
        <f>IF(T$49="Y",'Sep23'!K64,I54*J54)</f>
        <v>0</v>
      </c>
      <c r="L54" s="111">
        <f>IF(T$49="Y",'Sep23'!L64,0)</f>
        <v>0</v>
      </c>
      <c r="M54" s="100" t="str">
        <f>IF(E54=" "," ",IF(T$49="Y",'Sep23'!M64,IF((H54+K54+L54)&gt;0,H54+K54+L54,"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IF(Employee!H$113=E$49,Employee!D$112+SUM(M54)+'Sep23'!V64,SUM(M54)+'Sep23'!V64)</f>
        <v>0</v>
      </c>
      <c r="W54" s="49">
        <f>IF(Employee!H$113=E$49,Employee!D$113+SUM(N54)+'Sep23'!W64,SUM(N54)+'Sep23'!W64)</f>
        <v>0</v>
      </c>
      <c r="X54" s="49">
        <f>IF(O54=" ",'Sep23'!X64,O54+'Sep23'!X64)</f>
        <v>0</v>
      </c>
      <c r="Y54" s="49">
        <f>IF(P54=" ",'Sep23'!Y64,P54+'Sep23'!Y64)</f>
        <v>0</v>
      </c>
      <c r="Z54" s="49">
        <f>IF(Q54=" ",'Sep23'!Z64,Q54+'Sep23'!Z64)</f>
        <v>0</v>
      </c>
      <c r="AA54" s="49">
        <f>IF(R54=" ",'Sep23'!AA64,R54+'Sep23'!AA64)</f>
        <v>0</v>
      </c>
      <c r="AC54" s="49">
        <f>IF(T54=" ",'Sep23'!AC64,T54+'Sep23'!AC64)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IF(T$49="Y",'Sep23'!H65,0)</f>
        <v>0</v>
      </c>
      <c r="I55" s="245">
        <f>IF(T$49="Y",'Sep23'!I65,0)</f>
        <v>0</v>
      </c>
      <c r="J55" s="245">
        <f>IF(T$49="Y",'Sep23'!J65,0)</f>
        <v>0</v>
      </c>
      <c r="K55" s="245">
        <f>IF(T$49="Y",'Sep23'!K65,I55*J55)</f>
        <v>0</v>
      </c>
      <c r="L55" s="246">
        <f>IF(T$49="Y",'Sep23'!L65,0)</f>
        <v>0</v>
      </c>
      <c r="M55" s="100" t="str">
        <f>IF(E55=" "," ",IF(T$49="Y",'Sep23'!M65,IF((H55+K55+L55)&gt;0,H55+K55+L55,"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IF(Employee!H$139=E$49,Employee!D$138+SUM(M55)+'Sep23'!V65,SUM(M55)+'Sep23'!V65)</f>
        <v>0</v>
      </c>
      <c r="W55" s="49">
        <f>IF(Employee!H$139=E$49,Employee!D$139+SUM(N55)+'Sep23'!W65,SUM(N55)+'Sep23'!W65)</f>
        <v>0</v>
      </c>
      <c r="X55" s="49">
        <f>IF(O55=" ",'Sep23'!X65,O55+'Sep23'!X65)</f>
        <v>0</v>
      </c>
      <c r="Y55" s="49">
        <f>IF(P55=" ",'Sep23'!Y65,P55+'Sep23'!Y65)</f>
        <v>0</v>
      </c>
      <c r="Z55" s="49">
        <f>IF(Q55=" ",'Sep23'!Z65,Q55+'Sep23'!Z65)</f>
        <v>0</v>
      </c>
      <c r="AA55" s="49">
        <f>IF(R55=" ",'Sep23'!AA65,R55+'Sep23'!AA65)</f>
        <v>0</v>
      </c>
      <c r="AC55" s="49">
        <f>IF(T55=" ",'Sep23'!AC65,T55+'Sep23'!AC65)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AD60+'Sep23'!AD75</f>
        <v>0</v>
      </c>
      <c r="AE65" s="158">
        <f>AE60+'Sep23'!AE75</f>
        <v>0</v>
      </c>
      <c r="AF65" s="158">
        <f>AF60+'Sep23'!AF75</f>
        <v>0</v>
      </c>
      <c r="AG65" s="158">
        <f>AG60+'Sep23'!AG75</f>
        <v>0</v>
      </c>
    </row>
    <row r="66" spans="6:33" ht="14" thickTop="1" x14ac:dyDescent="0.15"/>
    <row r="67" spans="6:33" x14ac:dyDescent="0.15">
      <c r="AD67" s="162"/>
      <c r="AE67" s="158">
        <f>AE62+'Sep23'!AE77</f>
        <v>0</v>
      </c>
      <c r="AF67" s="158">
        <f>AF62+'Sep23'!AF77</f>
        <v>0</v>
      </c>
      <c r="AG67" s="158">
        <f>AG62+'Sep23'!AG77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31</v>
      </c>
      <c r="F9" s="35"/>
      <c r="G9" s="35"/>
      <c r="H9" s="361" t="s">
        <v>28</v>
      </c>
      <c r="I9" s="362"/>
      <c r="J9" s="360"/>
      <c r="K9" s="204">
        <f>Admin!B210</f>
        <v>45230</v>
      </c>
      <c r="L9" s="203" t="s">
        <v>76</v>
      </c>
      <c r="M9" s="205">
        <f>K9+6</f>
        <v>45236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IF(T$9="Y",'Oct23'!H41,0)</f>
        <v>0</v>
      </c>
      <c r="I11" s="89">
        <f>IF(T$9="Y",'Oct23'!I41,0)</f>
        <v>0</v>
      </c>
      <c r="J11" s="89">
        <f>IF(T$9="Y",'Oct23'!J41,0)</f>
        <v>0</v>
      </c>
      <c r="K11" s="89">
        <f>IF(T$9="Y",'Oct23'!K41,I11*J11)</f>
        <v>0</v>
      </c>
      <c r="L11" s="110">
        <f>IF(T$9="Y",'Oct23'!L41,0)</f>
        <v>0</v>
      </c>
      <c r="M11" s="99" t="str">
        <f>IF(E11=" "," ",IF(T$9="Y",'Oct23'!M41,IF((H11+K11+L11)&gt;0,H11+K11+L11,"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IF(Employee!H$34=E$9,Employee!D$34+SUM(M11)+'Oct23'!V41,SUM(M11)+'Oct23'!V41)</f>
        <v>0</v>
      </c>
      <c r="W11" s="49">
        <f>IF(Employee!H$34=E$9,Employee!D$35+SUM(N11)+'Oct23'!W41,SUM(N11)+'Oct23'!W41)</f>
        <v>0</v>
      </c>
      <c r="X11" s="49">
        <f>IF(O11=" ",'Oct23'!X41,O11+'Oct23'!X41)</f>
        <v>0</v>
      </c>
      <c r="Y11" s="49">
        <f>IF(P11=" ",'Oct23'!Y41,P11+'Oct23'!Y41)</f>
        <v>0</v>
      </c>
      <c r="Z11" s="49">
        <f>IF(Q11=" ",'Oct23'!Z41,Q11+'Oct23'!Z41)</f>
        <v>0</v>
      </c>
      <c r="AA11" s="49">
        <f>IF(R11=" ",'Oct23'!AA41,R11+'Oct23'!AA41)</f>
        <v>0</v>
      </c>
      <c r="AC11" s="49">
        <f>IF(T11=" ",'Oct23'!AC41,T11+'Oct23'!AC41)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IF(T$9="Y",'Oct23'!H42,0)</f>
        <v>0</v>
      </c>
      <c r="I12" s="92">
        <f>IF(T$9="Y",'Oct23'!I42,0)</f>
        <v>0</v>
      </c>
      <c r="J12" s="92">
        <f>IF(T$9="Y",'Oct23'!J42,0)</f>
        <v>0</v>
      </c>
      <c r="K12" s="92">
        <f>IF(T$9="Y",'Oct23'!K42,I12*J12)</f>
        <v>0</v>
      </c>
      <c r="L12" s="111">
        <f>IF(T$9="Y",'Oct23'!L42,0)</f>
        <v>0</v>
      </c>
      <c r="M12" s="100" t="str">
        <f>IF(E12=" "," ",IF(T$9="Y",'Oct23'!M42,IF((H12+K12+L12)&gt;0,H12+K12+L12,"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IF(Employee!H$60=E$9,Employee!D$60+SUM(M12)+'Oct23'!V42,SUM(M12)+'Oct23'!V42)</f>
        <v>0</v>
      </c>
      <c r="W12" s="49">
        <f>IF(Employee!H$60=E$9,Employee!D$61+SUM(N12)+'Oct23'!W42,SUM(N12)+'Oct23'!W42)</f>
        <v>0</v>
      </c>
      <c r="X12" s="49">
        <f>IF(O12=" ",'Oct23'!X42,O12+'Oct23'!X42)</f>
        <v>0</v>
      </c>
      <c r="Y12" s="49">
        <f>IF(P12=" ",'Oct23'!Y42,P12+'Oct23'!Y42)</f>
        <v>0</v>
      </c>
      <c r="Z12" s="49">
        <f>IF(Q12=" ",'Oct23'!Z42,Q12+'Oct23'!Z42)</f>
        <v>0</v>
      </c>
      <c r="AA12" s="49">
        <f>IF(R12=" ",'Oct23'!AA42,R12+'Oct23'!AA42)</f>
        <v>0</v>
      </c>
      <c r="AC12" s="49">
        <f>IF(T12=" ",'Oct23'!AC42,T12+'Oct23'!AC42)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IF(T$9="Y",'Oct23'!H43,0)</f>
        <v>0</v>
      </c>
      <c r="I13" s="92">
        <f>IF(T$9="Y",'Oct23'!I43,0)</f>
        <v>0</v>
      </c>
      <c r="J13" s="92">
        <f>IF(T$9="Y",'Oct23'!J43,0)</f>
        <v>0</v>
      </c>
      <c r="K13" s="92">
        <f>IF(T$9="Y",'Oct23'!K43,I13*J13)</f>
        <v>0</v>
      </c>
      <c r="L13" s="111">
        <f>IF(T$9="Y",'Oct23'!L43,0)</f>
        <v>0</v>
      </c>
      <c r="M13" s="100" t="str">
        <f>IF(E13=" "," ",IF(T$9="Y",'Oct23'!M43,IF((H13+K13+L13)&gt;0,H13+K13+L13,"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IF(Employee!H$86=E$9,Employee!D$86+SUM(M13)+'Oct23'!V43,SUM(M13)+'Oct23'!V43)</f>
        <v>0</v>
      </c>
      <c r="W13" s="49">
        <f>IF(Employee!H$86=E$9,Employee!D$87+SUM(N13)+'Oct23'!W43,SUM(N13)+'Oct23'!W43)</f>
        <v>0</v>
      </c>
      <c r="X13" s="49">
        <f>IF(O13=" ",'Oct23'!X43,O13+'Oct23'!X43)</f>
        <v>0</v>
      </c>
      <c r="Y13" s="49">
        <f>IF(P13=" ",'Oct23'!Y43,P13+'Oct23'!Y43)</f>
        <v>0</v>
      </c>
      <c r="Z13" s="49">
        <f>IF(Q13=" ",'Oct23'!Z43,Q13+'Oct23'!Z43)</f>
        <v>0</v>
      </c>
      <c r="AA13" s="49">
        <f>IF(R13=" ",'Oct23'!AA43,R13+'Oct23'!AA43)</f>
        <v>0</v>
      </c>
      <c r="AC13" s="49">
        <f>IF(T13=" ",'Oct23'!AC43,T13+'Oct23'!AC43)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IF(T$9="Y",'Oct23'!H44,0)</f>
        <v>0</v>
      </c>
      <c r="I14" s="92">
        <f>IF(T$9="Y",'Oct23'!I44,0)</f>
        <v>0</v>
      </c>
      <c r="J14" s="92">
        <f>IF(T$9="Y",'Oct23'!J44,0)</f>
        <v>0</v>
      </c>
      <c r="K14" s="92">
        <f>IF(T$9="Y",'Oct23'!K44,I14*J14)</f>
        <v>0</v>
      </c>
      <c r="L14" s="111">
        <f>IF(T$9="Y",'Oct23'!L44,0)</f>
        <v>0</v>
      </c>
      <c r="M14" s="100" t="str">
        <f>IF(E14=" "," ",IF(T$9="Y",'Oct23'!M44,IF((H14+K14+L14)&gt;0,H14+K14+L14,"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IF(Employee!H$112=E$9,Employee!D$112+SUM(M14)+'Oct23'!V44,SUM(M14)+'Oct23'!V44)</f>
        <v>0</v>
      </c>
      <c r="W14" s="49">
        <f>IF(Employee!H$112=E$9,Employee!D$113+SUM(N14)+'Oct23'!W44,SUM(N14)+'Oct23'!W44)</f>
        <v>0</v>
      </c>
      <c r="X14" s="49">
        <f>IF(O14=" ",'Oct23'!X44,O14+'Oct23'!X44)</f>
        <v>0</v>
      </c>
      <c r="Y14" s="49">
        <f>IF(P14=" ",'Oct23'!Y44,P14+'Oct23'!Y44)</f>
        <v>0</v>
      </c>
      <c r="Z14" s="49">
        <f>IF(Q14=" ",'Oct23'!Z44,Q14+'Oct23'!Z44)</f>
        <v>0</v>
      </c>
      <c r="AA14" s="49">
        <f>IF(R14=" ",'Oct23'!AA44,R14+'Oct23'!AA44)</f>
        <v>0</v>
      </c>
      <c r="AC14" s="49">
        <f>IF(T14=" ",'Oct23'!AC44,T14+'Oct23'!AC44)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IF(T$9="Y",'Oct23'!H45,0)</f>
        <v>0</v>
      </c>
      <c r="I15" s="245">
        <f>IF(T$9="Y",'Oct23'!I45,0)</f>
        <v>0</v>
      </c>
      <c r="J15" s="245">
        <f>IF(T$9="Y",'Oct23'!J45,0)</f>
        <v>0</v>
      </c>
      <c r="K15" s="245">
        <f>IF(T$9="Y",'Oct23'!K45,I15*J15)</f>
        <v>0</v>
      </c>
      <c r="L15" s="246">
        <f>IF(T$9="Y",'Oct23'!L45,0)</f>
        <v>0</v>
      </c>
      <c r="M15" s="247" t="str">
        <f>IF(E15=" "," ",IF(T$9="Y",'Oct23'!M45,IF((H15+K15+L15)&gt;0,H15+K15+L15,"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IF(Employee!H$138=E$9,Employee!D$138+SUM(M15)+'Oct23'!V45,SUM(M15)+'Oct23'!V45)</f>
        <v>0</v>
      </c>
      <c r="W15" s="49">
        <f>IF(Employee!H$138=E$9,Employee!D$139+SUM(N15)+'Oct23'!W45,SUM(N15)+'Oct23'!W45)</f>
        <v>0</v>
      </c>
      <c r="X15" s="49">
        <f>IF(O15=" ",'Oct23'!X45,O15+'Oct23'!X45)</f>
        <v>0</v>
      </c>
      <c r="Y15" s="49">
        <f>IF(P15=" ",'Oct23'!Y45,P15+'Oct23'!Y45)</f>
        <v>0</v>
      </c>
      <c r="Z15" s="49">
        <f>IF(Q15=" ",'Oct23'!Z45,Q15+'Oct23'!Z45)</f>
        <v>0</v>
      </c>
      <c r="AA15" s="49">
        <f>IF(R15=" ",'Oct23'!AA45,R15+'Oct23'!AA45)</f>
        <v>0</v>
      </c>
      <c r="AC15" s="49">
        <f>IF(T15=" ",'Oct23'!AC45,T15+'Oct23'!AC45)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32</v>
      </c>
      <c r="F19" s="35"/>
      <c r="G19" s="35"/>
      <c r="H19" s="361" t="s">
        <v>28</v>
      </c>
      <c r="I19" s="362"/>
      <c r="J19" s="360"/>
      <c r="K19" s="204">
        <f>M9+1</f>
        <v>45237</v>
      </c>
      <c r="L19" s="203" t="s">
        <v>76</v>
      </c>
      <c r="M19" s="205">
        <f>K19+6</f>
        <v>45243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33</v>
      </c>
      <c r="F29" s="35"/>
      <c r="G29" s="35"/>
      <c r="H29" s="361" t="s">
        <v>28</v>
      </c>
      <c r="I29" s="362"/>
      <c r="J29" s="360"/>
      <c r="K29" s="204">
        <f>M19+1</f>
        <v>45244</v>
      </c>
      <c r="L29" s="203" t="s">
        <v>76</v>
      </c>
      <c r="M29" s="205">
        <f>K29+6</f>
        <v>45250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34</v>
      </c>
      <c r="F39" s="35"/>
      <c r="G39" s="35"/>
      <c r="H39" s="361" t="s">
        <v>28</v>
      </c>
      <c r="I39" s="440"/>
      <c r="J39" s="441"/>
      <c r="K39" s="204">
        <f>M29+1</f>
        <v>45251</v>
      </c>
      <c r="L39" s="203" t="s">
        <v>76</v>
      </c>
      <c r="M39" s="205">
        <f>K39+6</f>
        <v>45257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8</v>
      </c>
      <c r="F49" s="35"/>
      <c r="G49" s="35"/>
      <c r="H49" s="361" t="s">
        <v>28</v>
      </c>
      <c r="I49" s="362"/>
      <c r="J49" s="360"/>
      <c r="K49" s="204">
        <f>Admin!B211</f>
        <v>45231</v>
      </c>
      <c r="L49" s="203" t="s">
        <v>76</v>
      </c>
      <c r="M49" s="205">
        <f>Admin!B240</f>
        <v>45260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IF(T$49="Y",'Oct23'!H51,0)</f>
        <v>0</v>
      </c>
      <c r="I51" s="89">
        <f>IF(T$49="Y",'Oct23'!I51,0)</f>
        <v>0</v>
      </c>
      <c r="J51" s="89">
        <f>IF(T$49="Y",'Oct23'!J51,0)</f>
        <v>0</v>
      </c>
      <c r="K51" s="89">
        <f>IF(T$49="Y",'Oct23'!K51,I51*J51)</f>
        <v>0</v>
      </c>
      <c r="L51" s="110">
        <f>IF(T$49="Y",'Oct23'!L51,0)</f>
        <v>0</v>
      </c>
      <c r="M51" s="99" t="str">
        <f>IF(E51=" "," ",IF(T$49="Y",'Oct23'!M51,IF((H51+K51+L51)&gt;0,H51+K51+L51,"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IF(Employee!H$35=E$49,Employee!D$34+SUM(M51)+'Oct23'!V51,SUM(M51)+'Oct23'!V51)</f>
        <v>0</v>
      </c>
      <c r="W51" s="49">
        <f>IF(Employee!H$35=E$49,Employee!D$35+SUM(N51)+'Oct23'!W51,SUM(N51)+'Oct23'!W51)</f>
        <v>0</v>
      </c>
      <c r="X51" s="49">
        <f>IF(O51=" ",'Oct23'!X51,O51+'Oct23'!X51)</f>
        <v>0</v>
      </c>
      <c r="Y51" s="49">
        <f>IF(P51=" ",'Oct23'!Y51,P51+'Oct23'!Y51)</f>
        <v>0</v>
      </c>
      <c r="Z51" s="49">
        <f>IF(Q51=" ",'Oct23'!Z51,Q51+'Oct23'!Z51)</f>
        <v>0</v>
      </c>
      <c r="AA51" s="49">
        <f>IF(R51=" ",'Oct23'!AA51,R51+'Oct23'!AA51)</f>
        <v>0</v>
      </c>
      <c r="AC51" s="49">
        <f>IF(T51=" ",'Oct23'!AC51,T51+'Oct23'!AC51)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IF(T$49="Y",'Oct23'!H52,0)</f>
        <v>0</v>
      </c>
      <c r="I52" s="92">
        <f>IF(T$49="Y",'Oct23'!I52,0)</f>
        <v>0</v>
      </c>
      <c r="J52" s="92">
        <f>IF(T$49="Y",'Oct23'!J52,0)</f>
        <v>0</v>
      </c>
      <c r="K52" s="92">
        <f>IF(T$49="Y",'Oct23'!K52,I52*J52)</f>
        <v>0</v>
      </c>
      <c r="L52" s="111">
        <f>IF(T$49="Y",'Oct23'!L52,0)</f>
        <v>0</v>
      </c>
      <c r="M52" s="100" t="str">
        <f>IF(E52=" "," ",IF(T$49="Y",'Oct23'!M52,IF((H52+K52+L52)&gt;0,H52+K52+L52,"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IF(Employee!H$61=E$49,Employee!D$60+SUM(M52)+'Oct23'!V52,SUM(M52)+'Oct23'!V52)</f>
        <v>0</v>
      </c>
      <c r="W52" s="49">
        <f>IF(Employee!H$61=E$49,Employee!D$61+SUM(N52)+'Oct23'!W52,SUM(N52)+'Oct23'!W52)</f>
        <v>0</v>
      </c>
      <c r="X52" s="49">
        <f>IF(O52=" ",'Oct23'!X52,O52+'Oct23'!X52)</f>
        <v>0</v>
      </c>
      <c r="Y52" s="49">
        <f>IF(P52=" ",'Oct23'!Y52,P52+'Oct23'!Y52)</f>
        <v>0</v>
      </c>
      <c r="Z52" s="49">
        <f>IF(Q52=" ",'Oct23'!Z52,Q52+'Oct23'!Z52)</f>
        <v>0</v>
      </c>
      <c r="AA52" s="49">
        <f>IF(R52=" ",'Oct23'!AA52,R52+'Oct23'!AA52)</f>
        <v>0</v>
      </c>
      <c r="AC52" s="49">
        <f>IF(T52=" ",'Oct23'!AC52,T52+'Oct23'!AC52)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IF(T$49="Y",'Oct23'!H53,0)</f>
        <v>0</v>
      </c>
      <c r="I53" s="92">
        <f>IF(T$49="Y",'Oct23'!I53,0)</f>
        <v>0</v>
      </c>
      <c r="J53" s="92">
        <f>IF(T$49="Y",'Oct23'!J53,0)</f>
        <v>0</v>
      </c>
      <c r="K53" s="92">
        <f>IF(T$49="Y",'Oct23'!K53,I53*J53)</f>
        <v>0</v>
      </c>
      <c r="L53" s="111">
        <f>IF(T$49="Y",'Oct23'!L53,0)</f>
        <v>0</v>
      </c>
      <c r="M53" s="100" t="str">
        <f>IF(E53=" "," ",IF(T$49="Y",'Oct23'!M53,IF((H53+K53+L53)&gt;0,H53+K53+L53,"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IF(Employee!H$87=E$49,Employee!D$86+SUM(M53)+'Oct23'!V53,SUM(M53)+'Oct23'!V53)</f>
        <v>0</v>
      </c>
      <c r="W53" s="49">
        <f>IF(Employee!H$87=E$49,Employee!D$87+SUM(N53)+'Oct23'!W53,SUM(N53)+'Oct23'!W53)</f>
        <v>0</v>
      </c>
      <c r="X53" s="49">
        <f>IF(O53=" ",'Oct23'!X53,O53+'Oct23'!X53)</f>
        <v>0</v>
      </c>
      <c r="Y53" s="49">
        <f>IF(P53=" ",'Oct23'!Y53,P53+'Oct23'!Y53)</f>
        <v>0</v>
      </c>
      <c r="Z53" s="49">
        <f>IF(Q53=" ",'Oct23'!Z53,Q53+'Oct23'!Z53)</f>
        <v>0</v>
      </c>
      <c r="AA53" s="49">
        <f>IF(R53=" ",'Oct23'!AA53,R53+'Oct23'!AA53)</f>
        <v>0</v>
      </c>
      <c r="AC53" s="49">
        <f>IF(T53=" ",'Oct23'!AC53,T53+'Oct23'!AC53)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IF(T$49="Y",'Oct23'!H54,0)</f>
        <v>0</v>
      </c>
      <c r="I54" s="92">
        <f>IF(T$49="Y",'Oct23'!I54,0)</f>
        <v>0</v>
      </c>
      <c r="J54" s="92">
        <f>IF(T$49="Y",'Oct23'!J54,0)</f>
        <v>0</v>
      </c>
      <c r="K54" s="92">
        <f>IF(T$49="Y",'Oct23'!K54,I54*J54)</f>
        <v>0</v>
      </c>
      <c r="L54" s="111">
        <f>IF(T$49="Y",'Oct23'!L54,0)</f>
        <v>0</v>
      </c>
      <c r="M54" s="100" t="str">
        <f>IF(E54=" "," ",IF(T$49="Y",'Oct23'!M54,IF((H54+K54+L54)&gt;0,H54+K54+L54,"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IF(Employee!H$113=E$49,Employee!D$112+SUM(M54)+'Oct23'!V54,SUM(M54)+'Oct23'!V54)</f>
        <v>0</v>
      </c>
      <c r="W54" s="49">
        <f>IF(Employee!H$113=E$49,Employee!D$113+SUM(N54)+'Oct23'!W54,SUM(N54)+'Oct23'!W54)</f>
        <v>0</v>
      </c>
      <c r="X54" s="49">
        <f>IF(O54=" ",'Oct23'!X54,O54+'Oct23'!X54)</f>
        <v>0</v>
      </c>
      <c r="Y54" s="49">
        <f>IF(P54=" ",'Oct23'!Y54,P54+'Oct23'!Y54)</f>
        <v>0</v>
      </c>
      <c r="Z54" s="49">
        <f>IF(Q54=" ",'Oct23'!Z54,Q54+'Oct23'!Z54)</f>
        <v>0</v>
      </c>
      <c r="AA54" s="49">
        <f>IF(R54=" ",'Oct23'!AA54,R54+'Oct23'!AA54)</f>
        <v>0</v>
      </c>
      <c r="AC54" s="49">
        <f>IF(T54=" ",'Oct23'!AC54,T54+'Oct23'!AC54)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IF(T$49="Y",'Oct23'!H55,0)</f>
        <v>0</v>
      </c>
      <c r="I55" s="245">
        <f>IF(T$49="Y",'Oct23'!I55,0)</f>
        <v>0</v>
      </c>
      <c r="J55" s="245">
        <f>IF(T$49="Y",'Oct23'!J55,0)</f>
        <v>0</v>
      </c>
      <c r="K55" s="245">
        <f>IF(T$49="Y",'Oct23'!K55,I55*J55)</f>
        <v>0</v>
      </c>
      <c r="L55" s="246">
        <f>IF(T$49="Y",'Oct23'!L55,0)</f>
        <v>0</v>
      </c>
      <c r="M55" s="100" t="str">
        <f>IF(E55=" "," ",IF(T$49="Y",'Oct23'!M55,IF((H55+K55+L55)&gt;0,H55+K55+L55,"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IF(Employee!H$139=E$49,Employee!D$138+SUM(M55)+'Oct23'!V55,SUM(M55)+'Oct23'!V55)</f>
        <v>0</v>
      </c>
      <c r="W55" s="49">
        <f>IF(Employee!H$139=E$49,Employee!D$139+SUM(N55)+'Oct23'!W55,SUM(N55)+'Oct23'!W55)</f>
        <v>0</v>
      </c>
      <c r="X55" s="49">
        <f>IF(O55=" ",'Oct23'!X55,O55+'Oct23'!X55)</f>
        <v>0</v>
      </c>
      <c r="Y55" s="49">
        <f>IF(P55=" ",'Oct23'!Y55,P55+'Oct23'!Y55)</f>
        <v>0</v>
      </c>
      <c r="Z55" s="49">
        <f>IF(Q55=" ",'Oct23'!Z55,Q55+'Oct23'!Z55)</f>
        <v>0</v>
      </c>
      <c r="AA55" s="49">
        <f>IF(R55=" ",'Oct23'!AA55,R55+'Oct23'!AA55)</f>
        <v>0</v>
      </c>
      <c r="AC55" s="49">
        <f>IF(T55=" ",'Oct23'!AC55,T55+'Oct23'!AC55)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AD60+'Oct23'!AD65</f>
        <v>0</v>
      </c>
      <c r="AE65" s="158">
        <f>AE60+'Oct23'!AE65</f>
        <v>0</v>
      </c>
      <c r="AF65" s="158">
        <f>AF60+'Oct23'!AF65</f>
        <v>0</v>
      </c>
      <c r="AG65" s="158">
        <f>AG60+'Oct23'!AG65</f>
        <v>0</v>
      </c>
    </row>
    <row r="66" spans="6:33" ht="14" thickTop="1" x14ac:dyDescent="0.15"/>
    <row r="67" spans="6:33" x14ac:dyDescent="0.15">
      <c r="AD67" s="162"/>
      <c r="AE67" s="158">
        <f>AE62+'Oct23'!AE67</f>
        <v>0</v>
      </c>
      <c r="AF67" s="158">
        <f>AF62+'Oct23'!AF67</f>
        <v>0</v>
      </c>
      <c r="AG67" s="158">
        <f>AG62+'Oct23'!AG67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SUM(AD70:AG70)+SUM(AE72:AG72)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35</v>
      </c>
      <c r="F9" s="35"/>
      <c r="G9" s="35"/>
      <c r="H9" s="361" t="s">
        <v>28</v>
      </c>
      <c r="I9" s="362"/>
      <c r="J9" s="360"/>
      <c r="K9" s="204">
        <f>'Nov23'!M39+1</f>
        <v>45258</v>
      </c>
      <c r="L9" s="203" t="s">
        <v>76</v>
      </c>
      <c r="M9" s="205">
        <f>K9+6</f>
        <v>45264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IF(T$9="Y",'Nov23'!H41,0)</f>
        <v>0</v>
      </c>
      <c r="I11" s="89">
        <f>IF(T$9="Y",'Nov23'!I41,0)</f>
        <v>0</v>
      </c>
      <c r="J11" s="89">
        <f>IF(T$9="Y",'Nov23'!J41,0)</f>
        <v>0</v>
      </c>
      <c r="K11" s="89">
        <f>IF(T$9="Y",'Nov23'!K41,I11*J11)</f>
        <v>0</v>
      </c>
      <c r="L11" s="110">
        <f>IF(T$9="Y",'Nov23'!L41,0)</f>
        <v>0</v>
      </c>
      <c r="M11" s="110" t="str">
        <f>IF(E11=" "," ",IF(T$9="Y",'Nov23'!M41,IF((H11+K11+L11)&gt;0,H11+K11+L11,"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IF(Employee!H$34=E$9,Employee!D$34+SUM(M11)+'Nov23'!V41,SUM(M11)+'Nov23'!V41)</f>
        <v>0</v>
      </c>
      <c r="W11" s="49">
        <f>IF(Employee!H$34=E$9,Employee!D$35+SUM(N11)+'Nov23'!W41,SUM(N11)+'Nov23'!W41)</f>
        <v>0</v>
      </c>
      <c r="X11" s="49">
        <f>IF(O11=" ",'Nov23'!X41,O11+'Nov23'!X41)</f>
        <v>0</v>
      </c>
      <c r="Y11" s="49">
        <f>IF(P11=" ",'Nov23'!Y41,P11+'Nov23'!Y41)</f>
        <v>0</v>
      </c>
      <c r="Z11" s="49">
        <f>IF(Q11=" ",'Nov23'!Z41,Q11+'Nov23'!Z41)</f>
        <v>0</v>
      </c>
      <c r="AA11" s="49">
        <f>IF(R11=" ",'Nov23'!AA41,R11+'Nov23'!AA41)</f>
        <v>0</v>
      </c>
      <c r="AC11" s="49">
        <f>IF(T11=" ",'Nov23'!AC41,T11+'Nov23'!AC41)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IF(T$9="Y",'Nov23'!H42,0)</f>
        <v>0</v>
      </c>
      <c r="I12" s="92">
        <f>IF(T$9="Y",'Nov23'!I42,0)</f>
        <v>0</v>
      </c>
      <c r="J12" s="92">
        <f>IF(T$9="Y",'Nov23'!J42,0)</f>
        <v>0</v>
      </c>
      <c r="K12" s="92">
        <f>IF(T$9="Y",'Nov23'!K42,I12*J12)</f>
        <v>0</v>
      </c>
      <c r="L12" s="111">
        <f>IF(T$9="Y",'Nov23'!L42,0)</f>
        <v>0</v>
      </c>
      <c r="M12" s="111" t="str">
        <f>IF(E12=" "," ",IF(T$9="Y",'Nov23'!M42,IF((H12+K12+L12)&gt;0,H12+K12+L12,"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IF(Employee!H$60=E$9,Employee!D$60+SUM(M12)+'Nov23'!V42,SUM(M12)+'Nov23'!V42)</f>
        <v>0</v>
      </c>
      <c r="W12" s="49">
        <f>IF(Employee!H$60=E$9,Employee!D$61+SUM(N12)+'Nov23'!W42,SUM(N12)+'Nov23'!W42)</f>
        <v>0</v>
      </c>
      <c r="X12" s="49">
        <f>IF(O12=" ",'Nov23'!X42,O12+'Nov23'!X42)</f>
        <v>0</v>
      </c>
      <c r="Y12" s="49">
        <f>IF(P12=" ",'Nov23'!Y42,P12+'Nov23'!Y42)</f>
        <v>0</v>
      </c>
      <c r="Z12" s="49">
        <f>IF(Q12=" ",'Nov23'!Z42,Q12+'Nov23'!Z42)</f>
        <v>0</v>
      </c>
      <c r="AA12" s="49">
        <f>IF(R12=" ",'Nov23'!AA42,R12+'Nov23'!AA42)</f>
        <v>0</v>
      </c>
      <c r="AC12" s="49">
        <f>IF(T12=" ",'Nov23'!AC42,T12+'Nov23'!AC42)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IF(T$9="Y",'Nov23'!H43,0)</f>
        <v>0</v>
      </c>
      <c r="I13" s="92">
        <f>IF(T$9="Y",'Nov23'!I43,0)</f>
        <v>0</v>
      </c>
      <c r="J13" s="92">
        <f>IF(T$9="Y",'Nov23'!J43,0)</f>
        <v>0</v>
      </c>
      <c r="K13" s="92">
        <f>IF(T$9="Y",'Nov23'!K43,I13*J13)</f>
        <v>0</v>
      </c>
      <c r="L13" s="111">
        <f>IF(T$9="Y",'Nov23'!L43,0)</f>
        <v>0</v>
      </c>
      <c r="M13" s="111" t="str">
        <f>IF(E13=" "," ",IF(T$9="Y",'Nov23'!M43,IF((H13+K13+L13)&gt;0,H13+K13+L13,"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IF(Employee!H$86=E$9,Employee!D$86+SUM(M13)+'Nov23'!V43,SUM(M13)+'Nov23'!V43)</f>
        <v>0</v>
      </c>
      <c r="W13" s="49">
        <f>IF(Employee!H$86=E$9,Employee!D$87+SUM(N13)+'Nov23'!W43,SUM(N13)+'Nov23'!W43)</f>
        <v>0</v>
      </c>
      <c r="X13" s="49">
        <f>IF(O13=" ",'Nov23'!X43,O13+'Nov23'!X43)</f>
        <v>0</v>
      </c>
      <c r="Y13" s="49">
        <f>IF(P13=" ",'Nov23'!Y43,P13+'Nov23'!Y43)</f>
        <v>0</v>
      </c>
      <c r="Z13" s="49">
        <f>IF(Q13=" ",'Nov23'!Z43,Q13+'Nov23'!Z43)</f>
        <v>0</v>
      </c>
      <c r="AA13" s="49">
        <f>IF(R13=" ",'Nov23'!AA43,R13+'Nov23'!AA43)</f>
        <v>0</v>
      </c>
      <c r="AC13" s="49">
        <f>IF(T13=" ",'Nov23'!AC43,T13+'Nov23'!AC43)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IF(T$9="Y",'Nov23'!H44,0)</f>
        <v>0</v>
      </c>
      <c r="I14" s="92">
        <f>IF(T$9="Y",'Nov23'!I44,0)</f>
        <v>0</v>
      </c>
      <c r="J14" s="92">
        <f>IF(T$9="Y",'Nov23'!J44,0)</f>
        <v>0</v>
      </c>
      <c r="K14" s="92">
        <f>IF(T$9="Y",'Nov23'!K44,I14*J14)</f>
        <v>0</v>
      </c>
      <c r="L14" s="111">
        <f>IF(T$9="Y",'Nov23'!L44,0)</f>
        <v>0</v>
      </c>
      <c r="M14" s="111" t="str">
        <f>IF(E14=" "," ",IF(T$9="Y",'Nov23'!M44,IF((H14+K14+L14)&gt;0,H14+K14+L14,"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IF(Employee!H$112=E$9,Employee!D$112+SUM(M14)+'Nov23'!V44,SUM(M14)+'Nov23'!V44)</f>
        <v>0</v>
      </c>
      <c r="W14" s="49">
        <f>IF(Employee!H$112=E$9,Employee!D$113+SUM(N14)+'Nov23'!W44,SUM(N14)+'Nov23'!W44)</f>
        <v>0</v>
      </c>
      <c r="X14" s="49">
        <f>IF(O14=" ",'Nov23'!X44,O14+'Nov23'!X44)</f>
        <v>0</v>
      </c>
      <c r="Y14" s="49">
        <f>IF(P14=" ",'Nov23'!Y44,P14+'Nov23'!Y44)</f>
        <v>0</v>
      </c>
      <c r="Z14" s="49">
        <f>IF(Q14=" ",'Nov23'!Z44,Q14+'Nov23'!Z44)</f>
        <v>0</v>
      </c>
      <c r="AA14" s="49">
        <f>IF(R14=" ",'Nov23'!AA44,R14+'Nov23'!AA44)</f>
        <v>0</v>
      </c>
      <c r="AC14" s="49">
        <f>IF(T14=" ",'Nov23'!AC44,T14+'Nov23'!AC44)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IF(T$9="Y",'Nov23'!H45,0)</f>
        <v>0</v>
      </c>
      <c r="I15" s="245">
        <f>IF(T$9="Y",'Nov23'!I45,0)</f>
        <v>0</v>
      </c>
      <c r="J15" s="245">
        <f>IF(T$9="Y",'Nov23'!J45,0)</f>
        <v>0</v>
      </c>
      <c r="K15" s="245">
        <f>IF(T$9="Y",'Nov23'!K45,I15*J15)</f>
        <v>0</v>
      </c>
      <c r="L15" s="246">
        <f>IF(T$9="Y",'Nov23'!L45,0)</f>
        <v>0</v>
      </c>
      <c r="M15" s="111" t="str">
        <f>IF(E15=" "," ",IF(T$9="Y",'Nov23'!M45,IF((H15+K15+L15)&gt;0,H15+K15+L15,"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IF(Employee!H$138=E$9,Employee!D$138+SUM(M15)+'Nov23'!V45,SUM(M15)+'Nov23'!V45)</f>
        <v>0</v>
      </c>
      <c r="W15" s="49">
        <f>IF(Employee!H$138=E$9,Employee!D$139+SUM(N15)+'Nov23'!W45,SUM(N15)+'Nov23'!W45)</f>
        <v>0</v>
      </c>
      <c r="X15" s="49">
        <f>IF(O15=" ",'Nov23'!X45,O15+'Nov23'!X45)</f>
        <v>0</v>
      </c>
      <c r="Y15" s="49">
        <f>IF(P15=" ",'Nov23'!Y45,P15+'Nov23'!Y45)</f>
        <v>0</v>
      </c>
      <c r="Z15" s="49">
        <f>IF(Q15=" ",'Nov23'!Z45,Q15+'Nov23'!Z45)</f>
        <v>0</v>
      </c>
      <c r="AA15" s="49">
        <f>IF(R15=" ",'Nov23'!AA45,R15+'Nov23'!AA45)</f>
        <v>0</v>
      </c>
      <c r="AC15" s="49">
        <f>IF(T15=" ",'Nov23'!AC45,T15+'Nov23'!AC45)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36</v>
      </c>
      <c r="F19" s="35"/>
      <c r="G19" s="35"/>
      <c r="H19" s="361" t="s">
        <v>28</v>
      </c>
      <c r="I19" s="362"/>
      <c r="J19" s="360"/>
      <c r="K19" s="204">
        <f>M9+1</f>
        <v>45265</v>
      </c>
      <c r="L19" s="203" t="s">
        <v>76</v>
      </c>
      <c r="M19" s="205">
        <f>K19+6</f>
        <v>45271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37</v>
      </c>
      <c r="F29" s="35"/>
      <c r="G29" s="35"/>
      <c r="H29" s="361" t="s">
        <v>28</v>
      </c>
      <c r="I29" s="362"/>
      <c r="J29" s="360"/>
      <c r="K29" s="204">
        <f>M19+1</f>
        <v>45272</v>
      </c>
      <c r="L29" s="203" t="s">
        <v>76</v>
      </c>
      <c r="M29" s="205">
        <f>K29+6</f>
        <v>45278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38</v>
      </c>
      <c r="F39" s="35"/>
      <c r="G39" s="35"/>
      <c r="H39" s="361" t="s">
        <v>28</v>
      </c>
      <c r="I39" s="440"/>
      <c r="J39" s="441"/>
      <c r="K39" s="204">
        <f>M29+1</f>
        <v>45279</v>
      </c>
      <c r="L39" s="203" t="s">
        <v>76</v>
      </c>
      <c r="M39" s="205">
        <f>K39+6</f>
        <v>45285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39</v>
      </c>
      <c r="F49" s="35"/>
      <c r="G49" s="35"/>
      <c r="H49" s="361" t="s">
        <v>28</v>
      </c>
      <c r="I49" s="440"/>
      <c r="J49" s="441"/>
      <c r="K49" s="204">
        <f>M39+1</f>
        <v>45286</v>
      </c>
      <c r="L49" s="203" t="s">
        <v>76</v>
      </c>
      <c r="M49" s="205">
        <f>K49+6</f>
        <v>45292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62"/>
      <c r="D58" s="362"/>
      <c r="E58" s="360"/>
      <c r="F58" s="32"/>
      <c r="G58" s="32"/>
      <c r="H58" s="43"/>
      <c r="I58" s="43"/>
      <c r="J58" s="43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10</v>
      </c>
      <c r="C59" s="362"/>
      <c r="D59" s="360"/>
      <c r="E59" s="156">
        <v>9</v>
      </c>
      <c r="F59" s="35"/>
      <c r="G59" s="35"/>
      <c r="H59" s="361" t="s">
        <v>28</v>
      </c>
      <c r="I59" s="362"/>
      <c r="J59" s="360"/>
      <c r="K59" s="204">
        <f>Admin!B241</f>
        <v>45261</v>
      </c>
      <c r="L59" s="203" t="s">
        <v>76</v>
      </c>
      <c r="M59" s="205">
        <f>Admin!B271</f>
        <v>45291</v>
      </c>
      <c r="N59" s="20"/>
      <c r="O59" s="402" t="s">
        <v>64</v>
      </c>
      <c r="P59" s="403"/>
      <c r="Q59" s="403"/>
      <c r="R59" s="404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IF(T$59="Y",'Nov23'!H51,0)</f>
        <v>0</v>
      </c>
      <c r="I61" s="89">
        <f>IF(T$59="Y",'Nov23'!I51,0)</f>
        <v>0</v>
      </c>
      <c r="J61" s="89">
        <f>IF(T$59="Y",'Nov23'!J51,0)</f>
        <v>0</v>
      </c>
      <c r="K61" s="89">
        <f>IF(T$59="Y",'Nov23'!K51,I61*J61)</f>
        <v>0</v>
      </c>
      <c r="L61" s="110">
        <f>IF(T$59="Y",'Nov23'!L51,0)</f>
        <v>0</v>
      </c>
      <c r="M61" s="99" t="str">
        <f>IF(E61=" "," ",IF(T$59="Y",'Nov23'!M51,IF((H61+K61+L61)&gt;0,H61+K61+L61,"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IF(Employee!H$35=E$59,Employee!D$34+SUM(M61)+'Nov23'!V51,SUM(M61)+'Nov23'!V51)</f>
        <v>0</v>
      </c>
      <c r="W61" s="49">
        <f>IF(Employee!H$35=E$59,Employee!D$35+SUM(N61)+'Nov23'!W51,SUM(N61)+'Nov23'!W51)</f>
        <v>0</v>
      </c>
      <c r="X61" s="49">
        <f>IF(O61=" ",'Nov23'!X51,O61+'Nov23'!X51)</f>
        <v>0</v>
      </c>
      <c r="Y61" s="49">
        <f>IF(P61=" ",'Nov23'!Y51,P61+'Nov23'!Y51)</f>
        <v>0</v>
      </c>
      <c r="Z61" s="49">
        <f>IF(Q61=" ",'Nov23'!Z51,Q61+'Nov23'!Z51)</f>
        <v>0</v>
      </c>
      <c r="AA61" s="49">
        <f>IF(R61=" ",'Nov23'!AA51,R61+'Nov23'!AA51)</f>
        <v>0</v>
      </c>
      <c r="AC61" s="49">
        <f>IF(T61=" ",'Nov23'!AC51,T61+'Nov23'!AC51)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IF(T$59="Y",'Nov23'!H52,0)</f>
        <v>0</v>
      </c>
      <c r="I62" s="92">
        <f>IF(T$59="Y",'Nov23'!I52,0)</f>
        <v>0</v>
      </c>
      <c r="J62" s="92">
        <f>IF(T$59="Y",'Nov23'!J52,0)</f>
        <v>0</v>
      </c>
      <c r="K62" s="92">
        <f>IF(T$59="Y",'Nov23'!K52,I62*J62)</f>
        <v>0</v>
      </c>
      <c r="L62" s="111">
        <f>IF(T$59="Y",'Nov23'!L52,0)</f>
        <v>0</v>
      </c>
      <c r="M62" s="100" t="str">
        <f>IF(E62=" "," ",IF(T$59="Y",'Nov23'!M52,IF((H62+K62+L62)&gt;0,H62+K62+L62,"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IF(Employee!H$61=E$59,Employee!D$60+SUM(M62)+'Nov23'!V52,SUM(M62)+'Nov23'!V52)</f>
        <v>0</v>
      </c>
      <c r="W62" s="49">
        <f>IF(Employee!H$61=E$59,Employee!D$61+SUM(N62)+'Nov23'!W52,SUM(N62)+'Nov23'!W52)</f>
        <v>0</v>
      </c>
      <c r="X62" s="49">
        <f>IF(O62=" ",'Nov23'!X52,O62+'Nov23'!X52)</f>
        <v>0</v>
      </c>
      <c r="Y62" s="49">
        <f>IF(P62=" ",'Nov23'!Y52,P62+'Nov23'!Y52)</f>
        <v>0</v>
      </c>
      <c r="Z62" s="49">
        <f>IF(Q62=" ",'Nov23'!Z52,Q62+'Nov23'!Z52)</f>
        <v>0</v>
      </c>
      <c r="AA62" s="49">
        <f>IF(R62=" ",'Nov23'!AA52,R62+'Nov23'!AA52)</f>
        <v>0</v>
      </c>
      <c r="AC62" s="49">
        <f>IF(T62=" ",'Nov23'!AC52,T62+'Nov23'!AC52)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IF(T$59="Y",'Nov23'!H53,0)</f>
        <v>0</v>
      </c>
      <c r="I63" s="92">
        <f>IF(T$59="Y",'Nov23'!I53,0)</f>
        <v>0</v>
      </c>
      <c r="J63" s="92">
        <f>IF(T$59="Y",'Nov23'!J53,0)</f>
        <v>0</v>
      </c>
      <c r="K63" s="92">
        <f>IF(T$59="Y",'Nov23'!K53,I63*J63)</f>
        <v>0</v>
      </c>
      <c r="L63" s="111">
        <f>IF(T$59="Y",'Nov23'!L53,0)</f>
        <v>0</v>
      </c>
      <c r="M63" s="100" t="str">
        <f>IF(E63=" "," ",IF(T$59="Y",'Nov23'!M53,IF((H63+K63+L63)&gt;0,H63+K63+L63,"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IF(Employee!H$87=E$59,Employee!D$86+SUM(M63)+'Nov23'!V53,SUM(M63)+'Nov23'!V53)</f>
        <v>0</v>
      </c>
      <c r="W63" s="49">
        <f>IF(Employee!H$87=E$59,Employee!D$87+SUM(N63)+'Nov23'!W53,SUM(N63)+'Nov23'!W53)</f>
        <v>0</v>
      </c>
      <c r="X63" s="49">
        <f>IF(O63=" ",'Nov23'!X53,O63+'Nov23'!X53)</f>
        <v>0</v>
      </c>
      <c r="Y63" s="49">
        <f>IF(P63=" ",'Nov23'!Y53,P63+'Nov23'!Y53)</f>
        <v>0</v>
      </c>
      <c r="Z63" s="49">
        <f>IF(Q63=" ",'Nov23'!Z53,Q63+'Nov23'!Z53)</f>
        <v>0</v>
      </c>
      <c r="AA63" s="49">
        <f>IF(R63=" ",'Nov23'!AA53,R63+'Nov23'!AA53)</f>
        <v>0</v>
      </c>
      <c r="AC63" s="49">
        <f>IF(T63=" ",'Nov23'!AC53,T63+'Nov23'!AC53)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IF(T$59="Y",'Nov23'!H54,0)</f>
        <v>0</v>
      </c>
      <c r="I64" s="92">
        <f>IF(T$59="Y",'Nov23'!I54,0)</f>
        <v>0</v>
      </c>
      <c r="J64" s="92">
        <f>IF(T$59="Y",'Nov23'!J54,0)</f>
        <v>0</v>
      </c>
      <c r="K64" s="92">
        <f>IF(T$59="Y",'Nov23'!K54,I64*J64)</f>
        <v>0</v>
      </c>
      <c r="L64" s="111">
        <f>IF(T$59="Y",'Nov23'!L54,0)</f>
        <v>0</v>
      </c>
      <c r="M64" s="100" t="str">
        <f>IF(E64=" "," ",IF(T$59="Y",'Nov23'!M54,IF((H64+K64+L64)&gt;0,H64+K64+L64,"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IF(Employee!H$113=E$59,Employee!D$112+SUM(M64)+'Nov23'!V54,SUM(M64)+'Nov23'!V54)</f>
        <v>0</v>
      </c>
      <c r="W64" s="49">
        <f>IF(Employee!H$113=E$59,Employee!D$113+SUM(N64)+'Nov23'!W54,SUM(N64)+'Nov23'!W54)</f>
        <v>0</v>
      </c>
      <c r="X64" s="49">
        <f>IF(O64=" ",'Nov23'!X54,O64+'Nov23'!X54)</f>
        <v>0</v>
      </c>
      <c r="Y64" s="49">
        <f>IF(P64=" ",'Nov23'!Y54,P64+'Nov23'!Y54)</f>
        <v>0</v>
      </c>
      <c r="Z64" s="49">
        <f>IF(Q64=" ",'Nov23'!Z54,Q64+'Nov23'!Z54)</f>
        <v>0</v>
      </c>
      <c r="AA64" s="49">
        <f>IF(R64=" ",'Nov23'!AA54,R64+'Nov23'!AA54)</f>
        <v>0</v>
      </c>
      <c r="AC64" s="49">
        <f>IF(T64=" ",'Nov23'!AC54,T64+'Nov23'!AC54)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IF(T$59="Y",'Nov23'!H55,0)</f>
        <v>0</v>
      </c>
      <c r="I65" s="245">
        <f>IF(T$59="Y",'Nov23'!I55,0)</f>
        <v>0</v>
      </c>
      <c r="J65" s="245">
        <f>IF(T$59="Y",'Nov23'!J55,0)</f>
        <v>0</v>
      </c>
      <c r="K65" s="245">
        <f>IF(T$59="Y",'Nov23'!K55,I65*J65)</f>
        <v>0</v>
      </c>
      <c r="L65" s="246">
        <f>IF(T$59="Y",'Nov23'!L55,0)</f>
        <v>0</v>
      </c>
      <c r="M65" s="100" t="str">
        <f>IF(E65=" "," ",IF(T$59="Y",'Nov23'!M55,IF((H65+K65+L65)&gt;0,H65+K65+L65,"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IF(Employee!H$139=E$59,Employee!D$138+SUM(M65)+'Nov23'!V55,SUM(M65)+'Nov23'!V55)</f>
        <v>0</v>
      </c>
      <c r="W65" s="49">
        <f>IF(Employee!H$139=E$59,Employee!D$139+SUM(N65)+'Nov23'!W55,SUM(N65)+'Nov23'!W55)</f>
        <v>0</v>
      </c>
      <c r="X65" s="49">
        <f>IF(O65=" ",'Nov23'!X55,O65+'Nov23'!X55)</f>
        <v>0</v>
      </c>
      <c r="Y65" s="49">
        <f>IF(P65=" ",'Nov23'!Y55,P65+'Nov23'!Y55)</f>
        <v>0</v>
      </c>
      <c r="Z65" s="49">
        <f>IF(Q65=" ",'Nov23'!Z55,Q65+'Nov23'!Z55)</f>
        <v>0</v>
      </c>
      <c r="AA65" s="49">
        <f>IF(R65=" ",'Nov23'!AA55,R65+'Nov23'!AA55)</f>
        <v>0</v>
      </c>
      <c r="AC65" s="49">
        <f>IF(T65=" ",'Nov23'!AC55,T65+'Nov23'!AC55)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360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6" t="s">
        <v>74</v>
      </c>
      <c r="N69" s="417"/>
      <c r="O69" s="417"/>
      <c r="P69" s="417"/>
      <c r="Q69" s="417"/>
      <c r="R69" s="417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AD70+'Nov23'!AD65</f>
        <v>0</v>
      </c>
      <c r="AE75" s="158">
        <f>AE70+'Nov23'!AE65</f>
        <v>0</v>
      </c>
      <c r="AF75" s="158">
        <f>AF70+'Nov23'!AF65</f>
        <v>0</v>
      </c>
      <c r="AG75" s="158">
        <f>AG70+'Nov23'!AG65</f>
        <v>0</v>
      </c>
    </row>
    <row r="76" spans="1:34" ht="14" thickTop="1" x14ac:dyDescent="0.15"/>
    <row r="77" spans="1:34" x14ac:dyDescent="0.15">
      <c r="AD77" s="162"/>
      <c r="AE77" s="158">
        <f>AE72+'Nov23'!AE67</f>
        <v>0</v>
      </c>
      <c r="AF77" s="158">
        <f>AF72+'Nov23'!AF67</f>
        <v>0</v>
      </c>
      <c r="AG77" s="158">
        <f>AG72+'Nov23'!AG67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23" t="s">
        <v>66</v>
      </c>
      <c r="C1" s="424"/>
      <c r="D1" s="424"/>
      <c r="E1" s="424"/>
      <c r="F1" s="425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40</v>
      </c>
      <c r="F9" s="35"/>
      <c r="G9" s="35"/>
      <c r="H9" s="361" t="s">
        <v>28</v>
      </c>
      <c r="I9" s="362"/>
      <c r="J9" s="360"/>
      <c r="K9" s="204">
        <f>'Dec23'!M49+1</f>
        <v>45293</v>
      </c>
      <c r="L9" s="203" t="s">
        <v>76</v>
      </c>
      <c r="M9" s="205">
        <f>K9+6</f>
        <v>45299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IF(T$9="Y",'Dec23'!H51,0)</f>
        <v>0</v>
      </c>
      <c r="I11" s="89">
        <f>IF(T$9="Y",'Dec23'!I51,0)</f>
        <v>0</v>
      </c>
      <c r="J11" s="89">
        <f>IF(T$9="Y",'Dec23'!J51,0)</f>
        <v>0</v>
      </c>
      <c r="K11" s="89">
        <f>IF(T$9="Y",'Dec23'!K51,I11*J11)</f>
        <v>0</v>
      </c>
      <c r="L11" s="110">
        <f>IF(T$9="Y",'Dec23'!L51,0)</f>
        <v>0</v>
      </c>
      <c r="M11" s="110" t="str">
        <f>IF(E11=" "," ",IF(T$9="Y",'Dec23'!M51,IF((H11+K11+L11)&gt;0,H11+K11+L11,"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IF(Employee!H$34=E$9,Employee!D$34+SUM(M11)+'Dec23'!V51,SUM(M11)+'Dec23'!V51)</f>
        <v>0</v>
      </c>
      <c r="W11" s="49">
        <f>IF(Employee!H$34=E$9,Employee!D$35+SUM(N11)+'Dec23'!W51,SUM(N11)+'Dec23'!W51)</f>
        <v>0</v>
      </c>
      <c r="X11" s="49">
        <f>IF(O11=" ",'Dec23'!X51,O11+'Dec23'!X51)</f>
        <v>0</v>
      </c>
      <c r="Y11" s="49">
        <f>IF(P11=" ",'Dec23'!Y51,P11+'Dec23'!Y51)</f>
        <v>0</v>
      </c>
      <c r="Z11" s="49">
        <f>IF(Q11=" ",'Dec23'!Z51,Q11+'Dec23'!Z51)</f>
        <v>0</v>
      </c>
      <c r="AA11" s="49">
        <f>IF(R11=" ",'Dec23'!AA51,R11+'Dec23'!AA51)</f>
        <v>0</v>
      </c>
      <c r="AC11" s="49">
        <f>IF(T11=" ",'Dec23'!AC51,T11+'Dec23'!AC51)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IF(T$9="Y",'Dec23'!H52,0)</f>
        <v>0</v>
      </c>
      <c r="I12" s="92">
        <f>IF(T$9="Y",'Dec23'!I52,0)</f>
        <v>0</v>
      </c>
      <c r="J12" s="92">
        <f>IF(T$9="Y",'Dec23'!J52,0)</f>
        <v>0</v>
      </c>
      <c r="K12" s="92">
        <f>IF(T$9="Y",'Dec23'!K52,I12*J12)</f>
        <v>0</v>
      </c>
      <c r="L12" s="111">
        <f>IF(T$9="Y",'Dec23'!L52,0)</f>
        <v>0</v>
      </c>
      <c r="M12" s="111" t="str">
        <f>IF(E12=" "," ",IF(T$9="Y",'Dec23'!M52,IF((H12+K12+L12)&gt;0,H12+K12+L12,"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IF(Employee!H$60=E$9,Employee!D$60+SUM(M12)+'Dec23'!V52,SUM(M12)+'Dec23'!V52)</f>
        <v>0</v>
      </c>
      <c r="W12" s="49">
        <f>IF(Employee!H$60=E$9,Employee!D$61+SUM(N12)+'Dec23'!W52,SUM(N12)+'Dec23'!W52)</f>
        <v>0</v>
      </c>
      <c r="X12" s="49">
        <f>IF(O12=" ",'Dec23'!X52,O12+'Dec23'!X52)</f>
        <v>0</v>
      </c>
      <c r="Y12" s="49">
        <f>IF(P12=" ",'Dec23'!Y52,P12+'Dec23'!Y52)</f>
        <v>0</v>
      </c>
      <c r="Z12" s="49">
        <f>IF(Q12=" ",'Dec23'!Z52,Q12+'Dec23'!Z52)</f>
        <v>0</v>
      </c>
      <c r="AA12" s="49">
        <f>IF(R12=" ",'Dec23'!AA52,R12+'Dec23'!AA52)</f>
        <v>0</v>
      </c>
      <c r="AC12" s="49">
        <f>IF(T12=" ",'Dec23'!AC52,T12+'Dec23'!AC52)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IF(T$9="Y",'Dec23'!H53,0)</f>
        <v>0</v>
      </c>
      <c r="I13" s="92">
        <f>IF(T$9="Y",'Dec23'!I53,0)</f>
        <v>0</v>
      </c>
      <c r="J13" s="92">
        <f>IF(T$9="Y",'Dec23'!J53,0)</f>
        <v>0</v>
      </c>
      <c r="K13" s="92">
        <f>IF(T$9="Y",'Dec23'!K53,I13*J13)</f>
        <v>0</v>
      </c>
      <c r="L13" s="111">
        <f>IF(T$9="Y",'Dec23'!L53,0)</f>
        <v>0</v>
      </c>
      <c r="M13" s="111" t="str">
        <f>IF(E13=" "," ",IF(T$9="Y",'Dec23'!M53,IF((H13+K13+L13)&gt;0,H13+K13+L13,"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IF(Employee!H$86=E$9,Employee!D$86+SUM(M13)+'Dec23'!V53,SUM(M13)+'Dec23'!V53)</f>
        <v>0</v>
      </c>
      <c r="W13" s="49">
        <f>IF(Employee!H$86=E$9,Employee!D$87+SUM(N13)+'Dec23'!W53,SUM(N13)+'Dec23'!W53)</f>
        <v>0</v>
      </c>
      <c r="X13" s="49">
        <f>IF(O13=" ",'Dec23'!X53,O13+'Dec23'!X53)</f>
        <v>0</v>
      </c>
      <c r="Y13" s="49">
        <f>IF(P13=" ",'Dec23'!Y53,P13+'Dec23'!Y53)</f>
        <v>0</v>
      </c>
      <c r="Z13" s="49">
        <f>IF(Q13=" ",'Dec23'!Z53,Q13+'Dec23'!Z53)</f>
        <v>0</v>
      </c>
      <c r="AA13" s="49">
        <f>IF(R13=" ",'Dec23'!AA53,R13+'Dec23'!AA53)</f>
        <v>0</v>
      </c>
      <c r="AC13" s="49">
        <f>IF(T13=" ",'Dec23'!AC53,T13+'Dec23'!AC53)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IF(T$9="Y",'Dec23'!H54,0)</f>
        <v>0</v>
      </c>
      <c r="I14" s="92">
        <f>IF(T$9="Y",'Dec23'!I54,0)</f>
        <v>0</v>
      </c>
      <c r="J14" s="92">
        <f>IF(T$9="Y",'Dec23'!J54,0)</f>
        <v>0</v>
      </c>
      <c r="K14" s="92">
        <f>IF(T$9="Y",'Dec23'!K54,I14*J14)</f>
        <v>0</v>
      </c>
      <c r="L14" s="111">
        <f>IF(T$9="Y",'Dec23'!L54,0)</f>
        <v>0</v>
      </c>
      <c r="M14" s="111" t="str">
        <f>IF(E14=" "," ",IF(T$9="Y",'Dec23'!M54,IF((H14+K14+L14)&gt;0,H14+K14+L14,"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IF(Employee!H$112=E$9,Employee!D$112+SUM(M14)+'Dec23'!V54,SUM(M14)+'Dec23'!V54)</f>
        <v>0</v>
      </c>
      <c r="W14" s="49">
        <f>IF(Employee!H$112=E$9,Employee!D$113+SUM(N14)+'Dec23'!W54,SUM(N14)+'Dec23'!W54)</f>
        <v>0</v>
      </c>
      <c r="X14" s="49">
        <f>IF(O14=" ",'Dec23'!X54,O14+'Dec23'!X54)</f>
        <v>0</v>
      </c>
      <c r="Y14" s="49">
        <f>IF(P14=" ",'Dec23'!Y54,P14+'Dec23'!Y54)</f>
        <v>0</v>
      </c>
      <c r="Z14" s="49">
        <f>IF(Q14=" ",'Dec23'!Z54,Q14+'Dec23'!Z54)</f>
        <v>0</v>
      </c>
      <c r="AA14" s="49">
        <f>IF(R14=" ",'Dec23'!AA54,R14+'Dec23'!AA54)</f>
        <v>0</v>
      </c>
      <c r="AC14" s="49">
        <f>IF(T14=" ",'Dec23'!AC54,T14+'Dec23'!AC54)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IF(T$9="Y",'Dec23'!H55,0)</f>
        <v>0</v>
      </c>
      <c r="I15" s="245">
        <f>IF(T$9="Y",'Dec23'!I55,0)</f>
        <v>0</v>
      </c>
      <c r="J15" s="245">
        <f>IF(T$9="Y",'Dec23'!J55,0)</f>
        <v>0</v>
      </c>
      <c r="K15" s="245">
        <f>IF(T$9="Y",'Dec23'!K55,I15*J15)</f>
        <v>0</v>
      </c>
      <c r="L15" s="246">
        <f>IF(T$9="Y",'Dec23'!L55,0)</f>
        <v>0</v>
      </c>
      <c r="M15" s="111" t="str">
        <f>IF(E15=" "," ",IF(T$9="Y",'Dec23'!M55,IF((H15+K15+L15)&gt;0,H15+K15+L15,"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IF(Employee!H$138=E$9,Employee!D$138+SUM(M15)+'Dec23'!V55,SUM(M15)+'Dec23'!V55)</f>
        <v>0</v>
      </c>
      <c r="W15" s="49">
        <f>IF(Employee!H$138=E$9,Employee!D$139+SUM(N15)+'Dec23'!W55,SUM(N15)+'Dec23'!W55)</f>
        <v>0</v>
      </c>
      <c r="X15" s="49">
        <f>IF(O15=" ",'Dec23'!X55,O15+'Dec23'!X55)</f>
        <v>0</v>
      </c>
      <c r="Y15" s="49">
        <f>IF(P15=" ",'Dec23'!Y55,P15+'Dec23'!Y55)</f>
        <v>0</v>
      </c>
      <c r="Z15" s="49">
        <f>IF(Q15=" ",'Dec23'!Z55,Q15+'Dec23'!Z55)</f>
        <v>0</v>
      </c>
      <c r="AA15" s="49">
        <f>IF(R15=" ",'Dec23'!AA55,R15+'Dec23'!AA55)</f>
        <v>0</v>
      </c>
      <c r="AC15" s="49">
        <f>IF(T15=" ",'Dec23'!AC55,T15+'Dec23'!AC55)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41</v>
      </c>
      <c r="F19" s="35"/>
      <c r="G19" s="35"/>
      <c r="H19" s="361" t="s">
        <v>28</v>
      </c>
      <c r="I19" s="362"/>
      <c r="J19" s="360"/>
      <c r="K19" s="204">
        <f>M9+1</f>
        <v>45300</v>
      </c>
      <c r="L19" s="203" t="s">
        <v>76</v>
      </c>
      <c r="M19" s="205">
        <f>K19+6</f>
        <v>45306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42</v>
      </c>
      <c r="F29" s="35"/>
      <c r="G29" s="35"/>
      <c r="H29" s="361" t="s">
        <v>28</v>
      </c>
      <c r="I29" s="362"/>
      <c r="J29" s="360"/>
      <c r="K29" s="204">
        <f>M19+1</f>
        <v>45307</v>
      </c>
      <c r="L29" s="203" t="s">
        <v>76</v>
      </c>
      <c r="M29" s="205">
        <f>K29+6</f>
        <v>45313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43</v>
      </c>
      <c r="F39" s="35"/>
      <c r="G39" s="35"/>
      <c r="H39" s="361" t="s">
        <v>28</v>
      </c>
      <c r="I39" s="440"/>
      <c r="J39" s="441"/>
      <c r="K39" s="204">
        <f>M29+1</f>
        <v>45314</v>
      </c>
      <c r="L39" s="203" t="s">
        <v>76</v>
      </c>
      <c r="M39" s="205">
        <f>K39+6</f>
        <v>45320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10</v>
      </c>
      <c r="F49" s="35"/>
      <c r="G49" s="35"/>
      <c r="H49" s="361" t="s">
        <v>28</v>
      </c>
      <c r="I49" s="362"/>
      <c r="J49" s="360"/>
      <c r="K49" s="204">
        <f>Admin!B272</f>
        <v>45292</v>
      </c>
      <c r="L49" s="203" t="s">
        <v>76</v>
      </c>
      <c r="M49" s="205">
        <f>Admin!B302</f>
        <v>45322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IF(T$49="Y",'Dec23'!H61,0)</f>
        <v>0</v>
      </c>
      <c r="I51" s="89">
        <f>IF(T$49="Y",'Dec23'!I61,0)</f>
        <v>0</v>
      </c>
      <c r="J51" s="89">
        <f>IF(T$49="Y",'Dec23'!J61,0)</f>
        <v>0</v>
      </c>
      <c r="K51" s="89">
        <f>IF(T$49="Y",'Dec23'!K61,I51*J51)</f>
        <v>0</v>
      </c>
      <c r="L51" s="110">
        <f>IF(T$49="Y",'Dec23'!L61,0)</f>
        <v>0</v>
      </c>
      <c r="M51" s="99" t="str">
        <f>IF(E51=" "," ",IF(T$49="Y",'Dec23'!M61,IF((H51+K51+L51)&gt;0,H51+K51+L51,"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IF(Employee!H$35=E$49,Employee!D$34+SUM(M51)+'Dec23'!V61,SUM(M51)+'Dec23'!V61)</f>
        <v>0</v>
      </c>
      <c r="W51" s="49">
        <f>IF(Employee!H$35=E$49,Employee!D$35+SUM(N51)+'Dec23'!W61,SUM(N51)+'Dec23'!W61)</f>
        <v>0</v>
      </c>
      <c r="X51" s="49">
        <f>IF(O51=" ",'Dec23'!X61,O51+'Dec23'!X61)</f>
        <v>0</v>
      </c>
      <c r="Y51" s="49">
        <f>IF(P51=" ",'Dec23'!Y61,P51+'Dec23'!Y61)</f>
        <v>0</v>
      </c>
      <c r="Z51" s="49">
        <f>IF(Q51=" ",'Dec23'!Z61,Q51+'Dec23'!Z61)</f>
        <v>0</v>
      </c>
      <c r="AA51" s="49">
        <f>IF(R51=" ",'Dec23'!AA61,R51+'Dec23'!AA61)</f>
        <v>0</v>
      </c>
      <c r="AC51" s="49">
        <f>IF(T51=" ",'Dec23'!AC61,T51+'Dec23'!AC61)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IF(T$49="Y",'Dec23'!H62,0)</f>
        <v>0</v>
      </c>
      <c r="I52" s="92">
        <f>IF(T$49="Y",'Dec23'!I62,0)</f>
        <v>0</v>
      </c>
      <c r="J52" s="92">
        <f>IF(T$49="Y",'Dec23'!J62,0)</f>
        <v>0</v>
      </c>
      <c r="K52" s="92">
        <f>IF(T$49="Y",'Dec23'!K62,I52*J52)</f>
        <v>0</v>
      </c>
      <c r="L52" s="111">
        <f>IF(T$49="Y",'Dec23'!L62,0)</f>
        <v>0</v>
      </c>
      <c r="M52" s="100" t="str">
        <f>IF(E52=" "," ",IF(T$49="Y",'Dec23'!M62,IF((H52+K52+L52)&gt;0,H52+K52+L52,"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IF(Employee!H$61=E$49,Employee!D$60+SUM(M52)+'Dec23'!V62,SUM(M52)+'Dec23'!V62)</f>
        <v>0</v>
      </c>
      <c r="W52" s="49">
        <f>IF(Employee!H$61=E$49,Employee!D$61+SUM(N52)+'Dec23'!W62,SUM(N52)+'Dec23'!W62)</f>
        <v>0</v>
      </c>
      <c r="X52" s="49">
        <f>IF(O52=" ",'Dec23'!X62,O52+'Dec23'!X62)</f>
        <v>0</v>
      </c>
      <c r="Y52" s="49">
        <f>IF(P52=" ",'Dec23'!Y62,P52+'Dec23'!Y62)</f>
        <v>0</v>
      </c>
      <c r="Z52" s="49">
        <f>IF(Q52=" ",'Dec23'!Z62,Q52+'Dec23'!Z62)</f>
        <v>0</v>
      </c>
      <c r="AA52" s="49">
        <f>IF(R52=" ",'Dec23'!AA62,R52+'Dec23'!AA62)</f>
        <v>0</v>
      </c>
      <c r="AC52" s="49">
        <f>IF(T52=" ",'Dec23'!AC62,T52+'Dec23'!AC62)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IF(T$49="Y",'Dec23'!H63,0)</f>
        <v>0</v>
      </c>
      <c r="I53" s="92">
        <f>IF(T$49="Y",'Dec23'!I63,0)</f>
        <v>0</v>
      </c>
      <c r="J53" s="92">
        <f>IF(T$49="Y",'Dec23'!J63,0)</f>
        <v>0</v>
      </c>
      <c r="K53" s="92">
        <f>IF(T$49="Y",'Dec23'!K63,I53*J53)</f>
        <v>0</v>
      </c>
      <c r="L53" s="111">
        <f>IF(T$49="Y",'Dec23'!L63,0)</f>
        <v>0</v>
      </c>
      <c r="M53" s="100" t="str">
        <f>IF(E53=" "," ",IF(T$49="Y",'Dec23'!M63,IF((H53+K53+L53)&gt;0,H53+K53+L53,"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IF(Employee!H$87=E$49,Employee!D$86+SUM(M53)+'Dec23'!V63,SUM(M53)+'Dec23'!V63)</f>
        <v>0</v>
      </c>
      <c r="W53" s="49">
        <f>IF(Employee!H$87=E$49,Employee!D$87+SUM(N53)+'Dec23'!W63,SUM(N53)+'Dec23'!W63)</f>
        <v>0</v>
      </c>
      <c r="X53" s="49">
        <f>IF(O53=" ",'Dec23'!X63,O53+'Dec23'!X63)</f>
        <v>0</v>
      </c>
      <c r="Y53" s="49">
        <f>IF(P53=" ",'Dec23'!Y63,P53+'Dec23'!Y63)</f>
        <v>0</v>
      </c>
      <c r="Z53" s="49">
        <f>IF(Q53=" ",'Dec23'!Z63,Q53+'Dec23'!Z63)</f>
        <v>0</v>
      </c>
      <c r="AA53" s="49">
        <f>IF(R53=" ",'Dec23'!AA63,R53+'Dec23'!AA63)</f>
        <v>0</v>
      </c>
      <c r="AC53" s="49">
        <f>IF(T53=" ",'Dec23'!AC63,T53+'Dec23'!AC63)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IF(T$49="Y",'Dec23'!H64,0)</f>
        <v>0</v>
      </c>
      <c r="I54" s="92">
        <f>IF(T$49="Y",'Dec23'!I64,0)</f>
        <v>0</v>
      </c>
      <c r="J54" s="92">
        <f>IF(T$49="Y",'Dec23'!J64,0)</f>
        <v>0</v>
      </c>
      <c r="K54" s="92">
        <f>IF(T$49="Y",'Dec23'!K64,I54*J54)</f>
        <v>0</v>
      </c>
      <c r="L54" s="111">
        <f>IF(T$49="Y",'Dec23'!L64,0)</f>
        <v>0</v>
      </c>
      <c r="M54" s="100" t="str">
        <f>IF(E54=" "," ",IF(T$49="Y",'Dec23'!M64,IF((H54+K54+L54)&gt;0,H54+K54+L54,"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IF(Employee!H$113=E$49,Employee!D$112+SUM(M54)+'Dec23'!V64,SUM(M54)+'Dec23'!V64)</f>
        <v>0</v>
      </c>
      <c r="W54" s="49">
        <f>IF(Employee!H$113=E$49,Employee!D$113+SUM(N54)+'Dec23'!W64,SUM(N54)+'Dec23'!W64)</f>
        <v>0</v>
      </c>
      <c r="X54" s="49">
        <f>IF(O54=" ",'Dec23'!X64,O54+'Dec23'!X64)</f>
        <v>0</v>
      </c>
      <c r="Y54" s="49">
        <f>IF(P54=" ",'Dec23'!Y64,P54+'Dec23'!Y64)</f>
        <v>0</v>
      </c>
      <c r="Z54" s="49">
        <f>IF(Q54=" ",'Dec23'!Z64,Q54+'Dec23'!Z64)</f>
        <v>0</v>
      </c>
      <c r="AA54" s="49">
        <f>IF(R54=" ",'Dec23'!AA64,R54+'Dec23'!AA64)</f>
        <v>0</v>
      </c>
      <c r="AC54" s="49">
        <f>IF(T54=" ",'Dec23'!AC64,T54+'Dec23'!AC64)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IF(T$49="Y",'Dec23'!H65,0)</f>
        <v>0</v>
      </c>
      <c r="I55" s="245">
        <f>IF(T$49="Y",'Dec23'!I65,0)</f>
        <v>0</v>
      </c>
      <c r="J55" s="245">
        <f>IF(T$49="Y",'Dec23'!J65,0)</f>
        <v>0</v>
      </c>
      <c r="K55" s="245">
        <f>IF(T$49="Y",'Dec23'!K65,I55*J55)</f>
        <v>0</v>
      </c>
      <c r="L55" s="246">
        <f>IF(T$49="Y",'Dec23'!L65,0)</f>
        <v>0</v>
      </c>
      <c r="M55" s="100" t="str">
        <f>IF(E55=" "," ",IF(T$49="Y",'Dec23'!M65,IF((H55+K55+L55)&gt;0,H55+K55+L55,"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IF(Employee!H$139=E$49,Employee!D$138+SUM(M55)+'Dec23'!V65,SUM(M55)+'Dec23'!V65)</f>
        <v>0</v>
      </c>
      <c r="W55" s="49">
        <f>IF(Employee!H$139=E$49,Employee!D$139+SUM(N55)+'Dec23'!W65,SUM(N55)+'Dec23'!W65)</f>
        <v>0</v>
      </c>
      <c r="X55" s="49">
        <f>IF(O55=" ",'Dec23'!X65,O55+'Dec23'!X65)</f>
        <v>0</v>
      </c>
      <c r="Y55" s="49">
        <f>IF(P55=" ",'Dec23'!Y65,P55+'Dec23'!Y65)</f>
        <v>0</v>
      </c>
      <c r="Z55" s="49">
        <f>IF(Q55=" ",'Dec23'!Z65,Q55+'Dec23'!Z65)</f>
        <v>0</v>
      </c>
      <c r="AA55" s="49">
        <f>IF(R55=" ",'Dec23'!AA65,R55+'Dec23'!AA65)</f>
        <v>0</v>
      </c>
      <c r="AC55" s="49">
        <f>IF(T55=" ",'Dec23'!AC65,T55+'Dec23'!AC65)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AD60+'Dec23'!AD75</f>
        <v>0</v>
      </c>
      <c r="AE65" s="158">
        <f>AE60+'Dec23'!AE75</f>
        <v>0</v>
      </c>
      <c r="AF65" s="158">
        <f>AF60+'Dec23'!AF75</f>
        <v>0</v>
      </c>
      <c r="AG65" s="158">
        <f>AG60+'Dec23'!AG75</f>
        <v>0</v>
      </c>
    </row>
    <row r="66" spans="6:33" ht="14" thickTop="1" x14ac:dyDescent="0.15"/>
    <row r="67" spans="6:33" x14ac:dyDescent="0.15">
      <c r="AD67" s="162"/>
      <c r="AE67" s="158">
        <f>AE62+'Dec23'!AE77</f>
        <v>0</v>
      </c>
      <c r="AF67" s="158">
        <f>AF62+'Dec23'!AF77</f>
        <v>0</v>
      </c>
      <c r="AG67" s="158">
        <f>AG62+'Dec23'!AG77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2"/>
      <c r="B1" s="447" t="s">
        <v>66</v>
      </c>
      <c r="C1" s="448"/>
      <c r="D1" s="448"/>
      <c r="E1" s="448"/>
      <c r="F1" s="449"/>
      <c r="G1" s="389">
        <f>SUM(AD60:AG60)+SUM(AE62:AG62)</f>
        <v>0</v>
      </c>
      <c r="H1" s="390"/>
      <c r="I1" s="386" t="s">
        <v>4</v>
      </c>
      <c r="J1" s="387"/>
      <c r="K1" s="387"/>
      <c r="L1" s="388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8"/>
    </row>
    <row r="2" spans="1:34" s="179" customFormat="1" ht="14.25" customHeight="1" thickBot="1" x14ac:dyDescent="0.2">
      <c r="A2" s="432"/>
      <c r="B2" s="450"/>
      <c r="C2" s="451"/>
      <c r="D2" s="451"/>
      <c r="E2" s="451"/>
      <c r="F2" s="452"/>
      <c r="G2" s="389"/>
      <c r="H2" s="390"/>
      <c r="I2" s="394" t="s">
        <v>70</v>
      </c>
      <c r="J2" s="394"/>
      <c r="K2" s="394"/>
      <c r="L2" s="395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8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44</v>
      </c>
      <c r="F9" s="35"/>
      <c r="G9" s="35"/>
      <c r="H9" s="361" t="s">
        <v>28</v>
      </c>
      <c r="I9" s="362"/>
      <c r="J9" s="360"/>
      <c r="K9" s="204">
        <f>'Jan24'!M39+1</f>
        <v>45321</v>
      </c>
      <c r="L9" s="203" t="s">
        <v>76</v>
      </c>
      <c r="M9" s="205">
        <f>K9+6</f>
        <v>45327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IF(T$9="Y",'Jan24'!H41,0)</f>
        <v>0</v>
      </c>
      <c r="I11" s="89">
        <f>IF(T$9="Y",'Jan24'!I41,0)</f>
        <v>0</v>
      </c>
      <c r="J11" s="89">
        <f>IF(T$9="Y",'Jan24'!J41,0)</f>
        <v>0</v>
      </c>
      <c r="K11" s="89">
        <f>IF(T$9="Y",'Jan24'!K41,I11*J11)</f>
        <v>0</v>
      </c>
      <c r="L11" s="110">
        <f>IF(T$9="Y",'Jan24'!L41,0)</f>
        <v>0</v>
      </c>
      <c r="M11" s="110" t="str">
        <f>IF(E11=" "," ",IF(T$9="Y",'Jan24'!M41,IF((H11+K11+L11)&gt;0,H11+K11+L11,"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IF(Employee!H$34=E$9,Employee!D$34+SUM(M11)+'Jan24'!V41,SUM(M11)+'Jan24'!V41)</f>
        <v>0</v>
      </c>
      <c r="W11" s="49">
        <f>IF(Employee!H$34=E$9,Employee!D$35+SUM(N11)+'Jan24'!W41,SUM(N11)+'Jan24'!W41)</f>
        <v>0</v>
      </c>
      <c r="X11" s="49">
        <f>IF(O11=" ",'Jan24'!X41,O11+'Jan24'!X41)</f>
        <v>0</v>
      </c>
      <c r="Y11" s="49">
        <f>IF(P11=" ",'Jan24'!Y41,P11+'Jan24'!Y41)</f>
        <v>0</v>
      </c>
      <c r="Z11" s="49">
        <f>IF(Q11=" ",'Jan24'!Z41,Q11+'Jan24'!Z41)</f>
        <v>0</v>
      </c>
      <c r="AA11" s="49">
        <f>IF(R11=" ",'Jan24'!AA41,R11+'Jan24'!AA41)</f>
        <v>0</v>
      </c>
      <c r="AC11" s="49">
        <f>IF(T11=" ",'Jan24'!AC41,T11+'Jan24'!AC41)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IF(T$9="Y",'Jan24'!H42,0)</f>
        <v>0</v>
      </c>
      <c r="I12" s="92">
        <f>IF(T$9="Y",'Jan24'!I42,0)</f>
        <v>0</v>
      </c>
      <c r="J12" s="92">
        <f>IF(T$9="Y",'Jan24'!J42,0)</f>
        <v>0</v>
      </c>
      <c r="K12" s="92">
        <f>IF(T$9="Y",'Jan24'!K42,I12*J12)</f>
        <v>0</v>
      </c>
      <c r="L12" s="111">
        <f>IF(T$9="Y",'Jan24'!L42,0)</f>
        <v>0</v>
      </c>
      <c r="M12" s="111" t="str">
        <f>IF(E12=" "," ",IF(T$9="Y",'Jan24'!M42,IF((H12+K12+L12)&gt;0,H12+K12+L12,"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IF(Employee!H$60=E$9,Employee!D$60+SUM(M12)+'Jan24'!V42,SUM(M12)+'Jan24'!V42)</f>
        <v>0</v>
      </c>
      <c r="W12" s="49">
        <f>IF(Employee!H$60=E$9,Employee!D$61+SUM(N12)+'Jan24'!W42,SUM(N12)+'Jan24'!W42)</f>
        <v>0</v>
      </c>
      <c r="X12" s="49">
        <f>IF(O12=" ",'Jan24'!X42,O12+'Jan24'!X42)</f>
        <v>0</v>
      </c>
      <c r="Y12" s="49">
        <f>IF(P12=" ",'Jan24'!Y42,P12+'Jan24'!Y42)</f>
        <v>0</v>
      </c>
      <c r="Z12" s="49">
        <f>IF(Q12=" ",'Jan24'!Z42,Q12+'Jan24'!Z42)</f>
        <v>0</v>
      </c>
      <c r="AA12" s="49">
        <f>IF(R12=" ",'Jan24'!AA42,R12+'Jan24'!AA42)</f>
        <v>0</v>
      </c>
      <c r="AC12" s="49">
        <f>IF(T12=" ",'Jan24'!AC42,T12+'Jan24'!AC42)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IF(T$9="Y",'Jan24'!H43,0)</f>
        <v>0</v>
      </c>
      <c r="I13" s="92">
        <f>IF(T$9="Y",'Jan24'!I43,0)</f>
        <v>0</v>
      </c>
      <c r="J13" s="92">
        <f>IF(T$9="Y",'Jan24'!J43,0)</f>
        <v>0</v>
      </c>
      <c r="K13" s="92">
        <f>IF(T$9="Y",'Jan24'!K43,I13*J13)</f>
        <v>0</v>
      </c>
      <c r="L13" s="111">
        <f>IF(T$9="Y",'Jan24'!L43,0)</f>
        <v>0</v>
      </c>
      <c r="M13" s="111" t="str">
        <f>IF(E13=" "," ",IF(T$9="Y",'Jan24'!M43,IF((H13+K13+L13)&gt;0,H13+K13+L13,"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IF(Employee!H$86=E$9,Employee!D$86+SUM(M13)+'Jan24'!V43,SUM(M13)+'Jan24'!V43)</f>
        <v>0</v>
      </c>
      <c r="W13" s="49">
        <f>IF(Employee!H$86=E$9,Employee!D$87+SUM(N13)+'Jan24'!W43,SUM(N13)+'Jan24'!W43)</f>
        <v>0</v>
      </c>
      <c r="X13" s="49">
        <f>IF(O13=" ",'Jan24'!X43,O13+'Jan24'!X43)</f>
        <v>0</v>
      </c>
      <c r="Y13" s="49">
        <f>IF(P13=" ",'Jan24'!Y43,P13+'Jan24'!Y43)</f>
        <v>0</v>
      </c>
      <c r="Z13" s="49">
        <f>IF(Q13=" ",'Jan24'!Z43,Q13+'Jan24'!Z43)</f>
        <v>0</v>
      </c>
      <c r="AA13" s="49">
        <f>IF(R13=" ",'Jan24'!AA43,R13+'Jan24'!AA43)</f>
        <v>0</v>
      </c>
      <c r="AC13" s="49">
        <f>IF(T13=" ",'Jan24'!AC43,T13+'Jan24'!AC43)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IF(T$9="Y",'Jan24'!H44,0)</f>
        <v>0</v>
      </c>
      <c r="I14" s="92">
        <f>IF(T$9="Y",'Jan24'!I44,0)</f>
        <v>0</v>
      </c>
      <c r="J14" s="92">
        <f>IF(T$9="Y",'Jan24'!J44,0)</f>
        <v>0</v>
      </c>
      <c r="K14" s="92">
        <f>IF(T$9="Y",'Jan24'!K44,I14*J14)</f>
        <v>0</v>
      </c>
      <c r="L14" s="111">
        <f>IF(T$9="Y",'Jan24'!L44,0)</f>
        <v>0</v>
      </c>
      <c r="M14" s="111" t="str">
        <f>IF(E14=" "," ",IF(T$9="Y",'Jan24'!M44,IF((H14+K14+L14)&gt;0,H14+K14+L14,"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IF(Employee!H$112=E$9,Employee!D$112+SUM(M14)+'Jan24'!V44,SUM(M14)+'Jan24'!V44)</f>
        <v>0</v>
      </c>
      <c r="W14" s="49">
        <f>IF(Employee!H$112=E$9,Employee!D$113+SUM(N14)+'Jan24'!W44,SUM(N14)+'Jan24'!W44)</f>
        <v>0</v>
      </c>
      <c r="X14" s="49">
        <f>IF(O14=" ",'Jan24'!X44,O14+'Jan24'!X44)</f>
        <v>0</v>
      </c>
      <c r="Y14" s="49">
        <f>IF(P14=" ",'Jan24'!Y44,P14+'Jan24'!Y44)</f>
        <v>0</v>
      </c>
      <c r="Z14" s="49">
        <f>IF(Q14=" ",'Jan24'!Z44,Q14+'Jan24'!Z44)</f>
        <v>0</v>
      </c>
      <c r="AA14" s="49">
        <f>IF(R14=" ",'Jan24'!AA44,R14+'Jan24'!AA44)</f>
        <v>0</v>
      </c>
      <c r="AC14" s="49">
        <f>IF(T14=" ",'Jan24'!AC44,T14+'Jan24'!AC44)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IF(T$9="Y",'Jan24'!H45,0)</f>
        <v>0</v>
      </c>
      <c r="I15" s="245">
        <f>IF(T$9="Y",'Jan24'!I45,0)</f>
        <v>0</v>
      </c>
      <c r="J15" s="245">
        <f>IF(T$9="Y",'Jan24'!J45,0)</f>
        <v>0</v>
      </c>
      <c r="K15" s="245">
        <f>IF(T$9="Y",'Jan24'!K45,I15*J15)</f>
        <v>0</v>
      </c>
      <c r="L15" s="246">
        <f>IF(T$19="Y",'Jan24'!L45,0)</f>
        <v>0</v>
      </c>
      <c r="M15" s="111" t="str">
        <f>IF(E15=" "," ",IF(T$9="Y",'Jan24'!M45,IF((H15+K15+L15)&gt;0,H15+K15+L15,"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IF(Employee!H$138=E$9,Employee!D$138+SUM(M15)+'Jan24'!V45,SUM(M15)+'Jan24'!V45)</f>
        <v>0</v>
      </c>
      <c r="W15" s="49">
        <f>IF(Employee!H$138=E$9,Employee!D$139+SUM(N15)+'Jan24'!W45,SUM(N15)+'Jan24'!W45)</f>
        <v>0</v>
      </c>
      <c r="X15" s="49">
        <f>IF(O15=" ",'Jan24'!X45,O15+'Jan24'!X45)</f>
        <v>0</v>
      </c>
      <c r="Y15" s="49">
        <f>IF(P15=" ",'Jan24'!Y45,P15+'Jan24'!Y45)</f>
        <v>0</v>
      </c>
      <c r="Z15" s="49">
        <f>IF(Q15=" ",'Jan24'!Z45,Q15+'Jan24'!Z45)</f>
        <v>0</v>
      </c>
      <c r="AA15" s="49">
        <f>IF(R15=" ",'Jan24'!AA45,R15+'Jan24'!AA45)</f>
        <v>0</v>
      </c>
      <c r="AC15" s="49">
        <f>IF(T15=" ",'Jan24'!AC45,T15+'Jan24'!AC45)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45</v>
      </c>
      <c r="F19" s="35"/>
      <c r="G19" s="35"/>
      <c r="H19" s="361" t="s">
        <v>28</v>
      </c>
      <c r="I19" s="362"/>
      <c r="J19" s="360"/>
      <c r="K19" s="204">
        <f>M9+1</f>
        <v>45328</v>
      </c>
      <c r="L19" s="203" t="s">
        <v>76</v>
      </c>
      <c r="M19" s="205">
        <f>K19+6</f>
        <v>45334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46</v>
      </c>
      <c r="F29" s="35"/>
      <c r="G29" s="35"/>
      <c r="H29" s="361" t="s">
        <v>28</v>
      </c>
      <c r="I29" s="362"/>
      <c r="J29" s="360"/>
      <c r="K29" s="204">
        <f>M19+1</f>
        <v>45335</v>
      </c>
      <c r="L29" s="203" t="s">
        <v>76</v>
      </c>
      <c r="M29" s="205">
        <f>K29+6</f>
        <v>45341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47</v>
      </c>
      <c r="F39" s="35"/>
      <c r="G39" s="35"/>
      <c r="H39" s="361" t="s">
        <v>28</v>
      </c>
      <c r="I39" s="440"/>
      <c r="J39" s="441"/>
      <c r="K39" s="204">
        <f>M29+1</f>
        <v>45342</v>
      </c>
      <c r="L39" s="203" t="s">
        <v>76</v>
      </c>
      <c r="M39" s="205">
        <f>K39+6</f>
        <v>45348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62"/>
      <c r="D48" s="362"/>
      <c r="E48" s="360"/>
      <c r="F48" s="32"/>
      <c r="G48" s="32"/>
      <c r="H48" s="43"/>
      <c r="I48" s="43"/>
      <c r="J48" s="43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10</v>
      </c>
      <c r="C49" s="362"/>
      <c r="D49" s="360"/>
      <c r="E49" s="156">
        <v>11</v>
      </c>
      <c r="F49" s="35"/>
      <c r="G49" s="35"/>
      <c r="H49" s="361" t="s">
        <v>28</v>
      </c>
      <c r="I49" s="362"/>
      <c r="J49" s="360"/>
      <c r="K49" s="204">
        <f>Admin!B303</f>
        <v>45323</v>
      </c>
      <c r="L49" s="203" t="s">
        <v>76</v>
      </c>
      <c r="M49" s="205">
        <f>Admin!B330</f>
        <v>45350</v>
      </c>
      <c r="N49" s="20"/>
      <c r="O49" s="402" t="s">
        <v>64</v>
      </c>
      <c r="P49" s="403"/>
      <c r="Q49" s="403"/>
      <c r="R49" s="404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IF(T$49="Y",'Jan24'!H51,0)</f>
        <v>0</v>
      </c>
      <c r="I51" s="89">
        <f>IF(T$49="Y",'Jan24'!I51,0)</f>
        <v>0</v>
      </c>
      <c r="J51" s="89">
        <f>IF(T$49="Y",'Jan24'!J51,0)</f>
        <v>0</v>
      </c>
      <c r="K51" s="89">
        <f>IF(T$49="Y",'Jan24'!K51,I51*J51)</f>
        <v>0</v>
      </c>
      <c r="L51" s="110">
        <f>IF(T$49="Y",'Jan24'!L51,0)</f>
        <v>0</v>
      </c>
      <c r="M51" s="99" t="str">
        <f>IF(E51=" "," ",IF(T$49="Y",'Jan24'!M51,IF((H51+K51+L51)&gt;0,H51+K51+L51,"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IF(Employee!H$35=E$49,Employee!D$34+SUM(M51)+'Jan24'!V51,SUM(M51)+'Jan24'!V51)</f>
        <v>0</v>
      </c>
      <c r="W51" s="49">
        <f>IF(Employee!H$35=E$49,Employee!D$35+SUM(N51)+'Jan24'!W51,SUM(N51)+'Jan24'!W51)</f>
        <v>0</v>
      </c>
      <c r="X51" s="49">
        <f>IF(O51=" ",'Jan24'!X51,O51+'Jan24'!X51)</f>
        <v>0</v>
      </c>
      <c r="Y51" s="49">
        <f>IF(P51=" ",'Jan24'!Y51,P51+'Jan24'!Y51)</f>
        <v>0</v>
      </c>
      <c r="Z51" s="49">
        <f>IF(Q51=" ",'Jan24'!Z51,Q51+'Jan24'!Z51)</f>
        <v>0</v>
      </c>
      <c r="AA51" s="49">
        <f>IF(R51=" ",'Jan24'!AA51,R51+'Jan24'!AA51)</f>
        <v>0</v>
      </c>
      <c r="AC51" s="49">
        <f>IF(T51=" ",'Jan24'!AC51,T51+'Jan24'!AC51)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IF(T$49="Y",'Jan24'!H52,0)</f>
        <v>0</v>
      </c>
      <c r="I52" s="92">
        <f>IF(T$49="Y",'Jan24'!I52,0)</f>
        <v>0</v>
      </c>
      <c r="J52" s="92">
        <f>IF(T$49="Y",'Jan24'!J52,0)</f>
        <v>0</v>
      </c>
      <c r="K52" s="92">
        <f>IF(T$49="Y",'Jan24'!K52,I52*J52)</f>
        <v>0</v>
      </c>
      <c r="L52" s="111">
        <f>IF(T$49="Y",'Jan24'!L52,0)</f>
        <v>0</v>
      </c>
      <c r="M52" s="100" t="str">
        <f>IF(E52=" "," ",IF(T$49="Y",'Jan24'!M52,IF((H52+K52+L52)&gt;0,H52+K52+L52,"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IF(Employee!H$61=E$49,Employee!D$60+SUM(M52)+'Jan24'!V52,SUM(M52)+'Jan24'!V52)</f>
        <v>0</v>
      </c>
      <c r="W52" s="49">
        <f>IF(Employee!H$61=E$49,Employee!D$61+SUM(N52)+'Jan24'!W52,SUM(N52)+'Jan24'!W52)</f>
        <v>0</v>
      </c>
      <c r="X52" s="49">
        <f>IF(O52=" ",'Jan24'!X52,O52+'Jan24'!X52)</f>
        <v>0</v>
      </c>
      <c r="Y52" s="49">
        <f>IF(P52=" ",'Jan24'!Y52,P52+'Jan24'!Y52)</f>
        <v>0</v>
      </c>
      <c r="Z52" s="49">
        <f>IF(Q52=" ",'Jan24'!Z52,Q52+'Jan24'!Z52)</f>
        <v>0</v>
      </c>
      <c r="AA52" s="49">
        <f>IF(R52=" ",'Jan24'!AA52,R52+'Jan24'!AA52)</f>
        <v>0</v>
      </c>
      <c r="AC52" s="49">
        <f>IF(T52=" ",'Jan24'!AC52,T52+'Jan24'!AC52)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IF(T$49="Y",'Jan24'!H53,0)</f>
        <v>0</v>
      </c>
      <c r="I53" s="92">
        <f>IF(T$49="Y",'Jan24'!I53,0)</f>
        <v>0</v>
      </c>
      <c r="J53" s="92">
        <f>IF(T$49="Y",'Jan24'!J53,0)</f>
        <v>0</v>
      </c>
      <c r="K53" s="92">
        <f>IF(T$49="Y",'Jan24'!K53,I53*J53)</f>
        <v>0</v>
      </c>
      <c r="L53" s="111">
        <f>IF(T$49="Y",'Jan24'!L53,0)</f>
        <v>0</v>
      </c>
      <c r="M53" s="100" t="str">
        <f>IF(E53=" "," ",IF(T$49="Y",'Jan24'!M53,IF((H53+K53+L53)&gt;0,H53+K53+L53,"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IF(Employee!H$87=E$49,Employee!D$86+SUM(M53)+'Jan24'!V53,SUM(M53)+'Jan24'!V53)</f>
        <v>0</v>
      </c>
      <c r="W53" s="49">
        <f>IF(Employee!H$87=E$49,Employee!D$87+SUM(N53)+'Jan24'!W53,SUM(N53)+'Jan24'!W53)</f>
        <v>0</v>
      </c>
      <c r="X53" s="49">
        <f>IF(O53=" ",'Jan24'!X53,O53+'Jan24'!X53)</f>
        <v>0</v>
      </c>
      <c r="Y53" s="49">
        <f>IF(P53=" ",'Jan24'!Y53,P53+'Jan24'!Y53)</f>
        <v>0</v>
      </c>
      <c r="Z53" s="49">
        <f>IF(Q53=" ",'Jan24'!Z53,Q53+'Jan24'!Z53)</f>
        <v>0</v>
      </c>
      <c r="AA53" s="49">
        <f>IF(R53=" ",'Jan24'!AA53,R53+'Jan24'!AA53)</f>
        <v>0</v>
      </c>
      <c r="AC53" s="49">
        <f>IF(T53=" ",'Jan24'!AC53,T53+'Jan24'!AC53)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IF(T$49="Y",'Jan24'!H54,0)</f>
        <v>0</v>
      </c>
      <c r="I54" s="92">
        <f>IF(T$49="Y",'Jan24'!I54,0)</f>
        <v>0</v>
      </c>
      <c r="J54" s="92">
        <f>IF(T$49="Y",'Jan24'!J54,0)</f>
        <v>0</v>
      </c>
      <c r="K54" s="92">
        <f>IF(T$49="Y",'Jan24'!K54,I54*J54)</f>
        <v>0</v>
      </c>
      <c r="L54" s="111">
        <f>IF(T$49="Y",'Jan24'!L54,0)</f>
        <v>0</v>
      </c>
      <c r="M54" s="100" t="str">
        <f>IF(E54=" "," ",IF(T$49="Y",'Jan24'!M54,IF((H54+K54+L54)&gt;0,H54+K54+L54,"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IF(Employee!H$113=E$49,Employee!D$112+SUM(M54)+'Jan24'!V54,SUM(M54)+'Jan24'!V54)</f>
        <v>0</v>
      </c>
      <c r="W54" s="49">
        <f>IF(Employee!H$113=E$49,Employee!D$113+SUM(N54)+'Jan24'!W54,SUM(N54)+'Jan24'!W54)</f>
        <v>0</v>
      </c>
      <c r="X54" s="49">
        <f>IF(O54=" ",'Jan24'!X54,O54+'Jan24'!X54)</f>
        <v>0</v>
      </c>
      <c r="Y54" s="49">
        <f>IF(P54=" ",'Jan24'!Y54,P54+'Jan24'!Y54)</f>
        <v>0</v>
      </c>
      <c r="Z54" s="49">
        <f>IF(Q54=" ",'Jan24'!Z54,Q54+'Jan24'!Z54)</f>
        <v>0</v>
      </c>
      <c r="AA54" s="49">
        <f>IF(R54=" ",'Jan24'!AA54,R54+'Jan24'!AA54)</f>
        <v>0</v>
      </c>
      <c r="AC54" s="49">
        <f>IF(T54=" ",'Jan24'!AC54,T54+'Jan24'!AC54)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IF(T$49="Y",'Jan24'!H55,0)</f>
        <v>0</v>
      </c>
      <c r="I55" s="245">
        <f>IF(T$49="Y",'Jan24'!I55,0)</f>
        <v>0</v>
      </c>
      <c r="J55" s="245">
        <f>IF(T$49="Y",'Jan24'!J55,0)</f>
        <v>0</v>
      </c>
      <c r="K55" s="245">
        <f>IF(T$49="Y",'Jan24'!K55,I55*J55)</f>
        <v>0</v>
      </c>
      <c r="L55" s="246">
        <f>IF(T$49="Y",'Jan24'!L55,0)</f>
        <v>0</v>
      </c>
      <c r="M55" s="100" t="str">
        <f>IF(E55=" "," ",IF(T$49="Y",'Jan24'!M55,IF((H55+K55+L55)&gt;0,H55+K55+L55,"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IF(Employee!H$139=E$49,Employee!D$138+SUM(M55)+'Jan24'!V55,SUM(M55)+'Jan24'!V55)</f>
        <v>0</v>
      </c>
      <c r="W55" s="49">
        <f>IF(Employee!H$139=E$49,Employee!D$139+SUM(N55)+'Jan24'!W55,SUM(N55)+'Jan24'!W55)</f>
        <v>0</v>
      </c>
      <c r="X55" s="49">
        <f>IF(O55=" ",'Jan24'!X55,O55+'Jan24'!X55)</f>
        <v>0</v>
      </c>
      <c r="Y55" s="49">
        <f>IF(P55=" ",'Jan24'!Y55,P55+'Jan24'!Y55)</f>
        <v>0</v>
      </c>
      <c r="Z55" s="49">
        <f>IF(Q55=" ",'Jan24'!Z55,Q55+'Jan24'!Z55)</f>
        <v>0</v>
      </c>
      <c r="AA55" s="49">
        <f>IF(R55=" ",'Jan24'!AA55,R55+'Jan24'!AA55)</f>
        <v>0</v>
      </c>
      <c r="AC55" s="49">
        <f>IF(T55=" ",'Jan24'!AC55,T55+'Jan24'!AC55)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360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6" t="s">
        <v>74</v>
      </c>
      <c r="N59" s="417"/>
      <c r="O59" s="417"/>
      <c r="P59" s="417"/>
      <c r="Q59" s="417"/>
      <c r="R59" s="417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AD60+'Jan24'!AD65</f>
        <v>0</v>
      </c>
      <c r="AE65" s="158">
        <f>AE60+'Jan24'!AE65</f>
        <v>0</v>
      </c>
      <c r="AF65" s="158">
        <f>AF60+'Jan24'!AF65</f>
        <v>0</v>
      </c>
      <c r="AG65" s="158">
        <f>AG60+'Jan24'!AG65</f>
        <v>0</v>
      </c>
    </row>
    <row r="66" spans="6:33" ht="14" thickTop="1" x14ac:dyDescent="0.15"/>
    <row r="67" spans="6:33" x14ac:dyDescent="0.15">
      <c r="AD67" s="162"/>
      <c r="AE67" s="158">
        <f>AE62+'Jan24'!AE67</f>
        <v>0</v>
      </c>
      <c r="AF67" s="158">
        <f>AF62+'Jan24'!AF67</f>
        <v>0</v>
      </c>
      <c r="AG67" s="158">
        <f>AG62+'Jan24'!AG67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2"/>
      <c r="B1" s="423" t="s">
        <v>66</v>
      </c>
      <c r="C1" s="424"/>
      <c r="D1" s="424"/>
      <c r="E1" s="424"/>
      <c r="F1" s="425"/>
      <c r="G1" s="436">
        <f>SUM(AD80:AG80)+SUM(AE82:AG82)</f>
        <v>0</v>
      </c>
      <c r="H1" s="437"/>
      <c r="I1" s="434" t="s">
        <v>4</v>
      </c>
      <c r="J1" s="445"/>
      <c r="K1" s="445"/>
      <c r="L1" s="446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4"/>
      <c r="V1" s="418" t="s">
        <v>25</v>
      </c>
      <c r="W1" s="419"/>
      <c r="X1" s="419"/>
      <c r="Y1" s="419"/>
      <c r="Z1" s="419"/>
      <c r="AA1" s="419"/>
      <c r="AB1" s="419"/>
      <c r="AC1" s="420"/>
      <c r="AD1" s="405" t="s">
        <v>62</v>
      </c>
      <c r="AE1" s="405"/>
      <c r="AF1" s="405"/>
      <c r="AG1" s="405"/>
      <c r="AH1" s="24"/>
    </row>
    <row r="2" spans="1:34" s="4" customFormat="1" ht="15" customHeight="1" thickBot="1" x14ac:dyDescent="0.2">
      <c r="A2" s="432"/>
      <c r="B2" s="426"/>
      <c r="C2" s="427"/>
      <c r="D2" s="427"/>
      <c r="E2" s="427"/>
      <c r="F2" s="428"/>
      <c r="G2" s="389"/>
      <c r="H2" s="390"/>
      <c r="I2" s="394" t="s">
        <v>70</v>
      </c>
      <c r="J2" s="394"/>
      <c r="K2" s="394"/>
      <c r="L2" s="395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4"/>
      <c r="V2" s="421"/>
      <c r="W2" s="406"/>
      <c r="X2" s="406"/>
      <c r="Y2" s="406"/>
      <c r="Z2" s="406"/>
      <c r="AA2" s="406"/>
      <c r="AB2" s="406"/>
      <c r="AC2" s="422"/>
      <c r="AD2" s="406"/>
      <c r="AE2" s="406"/>
      <c r="AF2" s="406"/>
      <c r="AG2" s="406"/>
      <c r="AH2" s="24"/>
    </row>
    <row r="3" spans="1:34" s="7" customFormat="1" ht="15" customHeight="1" thickTop="1" x14ac:dyDescent="0.15">
      <c r="A3" s="382"/>
      <c r="B3" s="391" t="s">
        <v>72</v>
      </c>
      <c r="C3" s="391" t="s">
        <v>45</v>
      </c>
      <c r="D3" s="391" t="s">
        <v>6</v>
      </c>
      <c r="E3" s="396" t="s">
        <v>38</v>
      </c>
      <c r="F3" s="399" t="s">
        <v>0</v>
      </c>
      <c r="G3" s="105" t="s">
        <v>39</v>
      </c>
      <c r="H3" s="366" t="str">
        <f>'Apr23'!H3:H6</f>
        <v>Statutory Pay</v>
      </c>
      <c r="I3" s="366" t="str">
        <f>'Apr23'!I3:I6</f>
        <v>Basic hours</v>
      </c>
      <c r="J3" s="366" t="str">
        <f>'Apr23'!J3:J6</f>
        <v>Hourly rate</v>
      </c>
      <c r="K3" s="366" t="str">
        <f>'Apr23'!K3:K6</f>
        <v>Basic    wages</v>
      </c>
      <c r="L3" s="366" t="str">
        <f>'Apr23'!L3:L6</f>
        <v>Overtime Bonus Gratuities</v>
      </c>
      <c r="M3" s="429" t="str">
        <f>'Apr23'!M3:M6</f>
        <v>GROSS WAGES</v>
      </c>
      <c r="N3" s="366" t="str">
        <f>'Apr23'!N3:N6</f>
        <v>Income Tax</v>
      </c>
      <c r="O3" s="366" t="str">
        <f>'Apr23'!O3:O6</f>
        <v>Employees National Insurance</v>
      </c>
      <c r="P3" s="366" t="str">
        <f>'Apr23'!P3:P6</f>
        <v>Student Loans</v>
      </c>
      <c r="Q3" s="366" t="str">
        <f>'Apr23'!Q3:Q6</f>
        <v>Other Deductions</v>
      </c>
      <c r="R3" s="429" t="str">
        <f>'Apr23'!R3:R6</f>
        <v>NET      PAY</v>
      </c>
      <c r="S3" s="42"/>
      <c r="T3" s="366" t="str">
        <f>'Apr23'!T3:T6</f>
        <v>Employers National Insurance</v>
      </c>
      <c r="U3" s="415"/>
      <c r="V3" s="410" t="s">
        <v>5</v>
      </c>
      <c r="W3" s="410" t="s">
        <v>1</v>
      </c>
      <c r="X3" s="410" t="s">
        <v>26</v>
      </c>
      <c r="Y3" s="411" t="s">
        <v>22</v>
      </c>
      <c r="Z3" s="410" t="s">
        <v>2</v>
      </c>
      <c r="AA3" s="410" t="s">
        <v>3</v>
      </c>
      <c r="AB3" s="42"/>
      <c r="AC3" s="410" t="s">
        <v>27</v>
      </c>
      <c r="AD3" s="407" t="s">
        <v>58</v>
      </c>
      <c r="AE3" s="407" t="s">
        <v>59</v>
      </c>
      <c r="AF3" s="407" t="s">
        <v>60</v>
      </c>
      <c r="AG3" s="407" t="s">
        <v>61</v>
      </c>
      <c r="AH3" s="160"/>
    </row>
    <row r="4" spans="1:34" s="7" customFormat="1" ht="15" customHeight="1" x14ac:dyDescent="0.15">
      <c r="A4" s="382"/>
      <c r="B4" s="392"/>
      <c r="C4" s="392"/>
      <c r="D4" s="392"/>
      <c r="E4" s="397"/>
      <c r="F4" s="375"/>
      <c r="G4" s="106" t="s">
        <v>40</v>
      </c>
      <c r="H4" s="369"/>
      <c r="I4" s="369"/>
      <c r="J4" s="369"/>
      <c r="K4" s="369"/>
      <c r="L4" s="369"/>
      <c r="M4" s="430"/>
      <c r="N4" s="369"/>
      <c r="O4" s="369"/>
      <c r="P4" s="369"/>
      <c r="Q4" s="369"/>
      <c r="R4" s="430"/>
      <c r="S4" s="42"/>
      <c r="T4" s="369"/>
      <c r="U4" s="415"/>
      <c r="V4" s="375"/>
      <c r="W4" s="375"/>
      <c r="X4" s="375"/>
      <c r="Y4" s="412"/>
      <c r="Z4" s="375"/>
      <c r="AA4" s="375"/>
      <c r="AB4" s="42"/>
      <c r="AC4" s="375"/>
      <c r="AD4" s="408"/>
      <c r="AE4" s="408"/>
      <c r="AF4" s="408"/>
      <c r="AG4" s="408"/>
      <c r="AH4" s="160"/>
    </row>
    <row r="5" spans="1:34" s="7" customFormat="1" ht="15" customHeight="1" x14ac:dyDescent="0.15">
      <c r="A5" s="382"/>
      <c r="B5" s="392"/>
      <c r="C5" s="392"/>
      <c r="D5" s="392"/>
      <c r="E5" s="397"/>
      <c r="F5" s="375"/>
      <c r="G5" s="106" t="s">
        <v>41</v>
      </c>
      <c r="H5" s="369"/>
      <c r="I5" s="369"/>
      <c r="J5" s="369"/>
      <c r="K5" s="369"/>
      <c r="L5" s="369"/>
      <c r="M5" s="430"/>
      <c r="N5" s="369"/>
      <c r="O5" s="369"/>
      <c r="P5" s="369"/>
      <c r="Q5" s="369"/>
      <c r="R5" s="430"/>
      <c r="S5" s="42"/>
      <c r="T5" s="369"/>
      <c r="U5" s="415"/>
      <c r="V5" s="375"/>
      <c r="W5" s="375"/>
      <c r="X5" s="375"/>
      <c r="Y5" s="412"/>
      <c r="Z5" s="375"/>
      <c r="AA5" s="375"/>
      <c r="AB5" s="42"/>
      <c r="AC5" s="375"/>
      <c r="AD5" s="408"/>
      <c r="AE5" s="408"/>
      <c r="AF5" s="408"/>
      <c r="AG5" s="408"/>
      <c r="AH5" s="160"/>
    </row>
    <row r="6" spans="1:34" s="8" customFormat="1" ht="15" customHeight="1" x14ac:dyDescent="0.15">
      <c r="A6" s="382"/>
      <c r="B6" s="393"/>
      <c r="C6" s="393"/>
      <c r="D6" s="393"/>
      <c r="E6" s="398"/>
      <c r="F6" s="375"/>
      <c r="G6" s="107" t="s">
        <v>42</v>
      </c>
      <c r="H6" s="370"/>
      <c r="I6" s="370"/>
      <c r="J6" s="370"/>
      <c r="K6" s="370"/>
      <c r="L6" s="370"/>
      <c r="M6" s="431"/>
      <c r="N6" s="370"/>
      <c r="O6" s="370"/>
      <c r="P6" s="370"/>
      <c r="Q6" s="370"/>
      <c r="R6" s="431"/>
      <c r="S6" s="41"/>
      <c r="T6" s="370"/>
      <c r="U6" s="415"/>
      <c r="V6" s="375"/>
      <c r="W6" s="375"/>
      <c r="X6" s="375"/>
      <c r="Y6" s="413"/>
      <c r="Z6" s="375"/>
      <c r="AA6" s="375"/>
      <c r="AB6" s="41"/>
      <c r="AC6" s="375"/>
      <c r="AD6" s="409"/>
      <c r="AE6" s="409"/>
      <c r="AF6" s="409"/>
      <c r="AG6" s="409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62"/>
      <c r="D8" s="362"/>
      <c r="E8" s="360"/>
      <c r="F8" s="32"/>
      <c r="G8" s="86"/>
      <c r="H8" s="87"/>
      <c r="I8" s="87"/>
      <c r="J8" s="87"/>
      <c r="K8" s="46"/>
      <c r="L8" s="46"/>
      <c r="M8" s="43"/>
      <c r="N8" s="32"/>
      <c r="O8" s="363" t="s">
        <v>28</v>
      </c>
      <c r="P8" s="364"/>
      <c r="Q8" s="365"/>
      <c r="R8" s="400"/>
      <c r="S8" s="401"/>
      <c r="T8" s="401"/>
      <c r="U8" s="33"/>
      <c r="AH8" s="35"/>
    </row>
    <row r="9" spans="1:34" ht="18" customHeight="1" thickTop="1" thickBot="1" x14ac:dyDescent="0.2">
      <c r="A9" s="34"/>
      <c r="B9" s="361" t="s">
        <v>9</v>
      </c>
      <c r="C9" s="362"/>
      <c r="D9" s="360"/>
      <c r="E9" s="156">
        <v>48</v>
      </c>
      <c r="F9" s="35"/>
      <c r="G9" s="35"/>
      <c r="H9" s="361" t="s">
        <v>28</v>
      </c>
      <c r="I9" s="362"/>
      <c r="J9" s="360"/>
      <c r="K9" s="204">
        <f>'Feb24'!M39+1</f>
        <v>45349</v>
      </c>
      <c r="L9" s="203" t="s">
        <v>76</v>
      </c>
      <c r="M9" s="205">
        <f>K9+6</f>
        <v>45355</v>
      </c>
      <c r="N9" s="20"/>
      <c r="O9" s="402" t="s">
        <v>63</v>
      </c>
      <c r="P9" s="403"/>
      <c r="Q9" s="403"/>
      <c r="R9" s="404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IF(T$9="Y",'Feb24'!H41,0)</f>
        <v>0</v>
      </c>
      <c r="I11" s="89">
        <f>IF(T$9="Y",'Feb24'!I41,0)</f>
        <v>0</v>
      </c>
      <c r="J11" s="89">
        <f>IF(T$9="Y",'Feb24'!J41,0)</f>
        <v>0</v>
      </c>
      <c r="K11" s="89">
        <f>IF(T$9="Y",'Feb24'!K41,I11*J11)</f>
        <v>0</v>
      </c>
      <c r="L11" s="110">
        <f>IF(T$9="Y",'Feb24'!L41,0)</f>
        <v>0</v>
      </c>
      <c r="M11" s="110" t="str">
        <f>IF(E11=" "," ",IF(T$9="Y",'Feb24'!M41,IF((H11+K11+L11)&gt;0,H11+K11+L11,"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IF(Employee!H$34=E$9,Employee!D$34+SUM(M11)+'Feb24'!V41,SUM(M11)+'Feb24'!V41)</f>
        <v>0</v>
      </c>
      <c r="W11" s="49">
        <f>IF(Employee!H$34=E$9,Employee!D$35+SUM(N11)+'Feb24'!W41,SUM(N11)+'Feb24'!W41)</f>
        <v>0</v>
      </c>
      <c r="X11" s="49">
        <f>IF(O11=" ",'Feb24'!X41,O11+'Feb24'!X41)</f>
        <v>0</v>
      </c>
      <c r="Y11" s="49">
        <f>IF(P11=" ",'Feb24'!Y41,P11+'Feb24'!Y41)</f>
        <v>0</v>
      </c>
      <c r="Z11" s="49">
        <f>IF(Q11=" ",'Feb24'!Z41,Q11+'Feb24'!Z41)</f>
        <v>0</v>
      </c>
      <c r="AA11" s="49">
        <f>IF(R11=" ",'Feb24'!AA41,R11+'Feb24'!AA41)</f>
        <v>0</v>
      </c>
      <c r="AC11" s="49">
        <f>IF(T11=" ",'Feb24'!AC41,T11+'Feb24'!AC41)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IF(T$9="Y",'Feb24'!H42,0)</f>
        <v>0</v>
      </c>
      <c r="I12" s="92">
        <f>IF(T$9="Y",'Feb24'!I42,0)</f>
        <v>0</v>
      </c>
      <c r="J12" s="92">
        <f>IF(T$9="Y",'Feb24'!J42,0)</f>
        <v>0</v>
      </c>
      <c r="K12" s="92">
        <f>IF(T$9="Y",'Feb24'!K42,I12*J12)</f>
        <v>0</v>
      </c>
      <c r="L12" s="111">
        <f>IF(T$9="Y",'Feb24'!L42,0)</f>
        <v>0</v>
      </c>
      <c r="M12" s="111" t="str">
        <f>IF(E12=" "," ",IF(T$9="Y",'Feb24'!M42,IF((H12+K12+L12)&gt;0,H12+K12+L12,"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IF(Employee!H$60=E$9,Employee!D$60+SUM(M12)+'Feb24'!V42,SUM(M12)+'Feb24'!V42)</f>
        <v>0</v>
      </c>
      <c r="W12" s="49">
        <f>IF(Employee!H$60=E$9,Employee!D$61+SUM(N12)+'Feb24'!W42,SUM(N12)+'Feb24'!W42)</f>
        <v>0</v>
      </c>
      <c r="X12" s="49">
        <f>IF(O12=" ",'Feb24'!X42,O12+'Feb24'!X42)</f>
        <v>0</v>
      </c>
      <c r="Y12" s="49">
        <f>IF(P12=" ",'Feb24'!Y42,P12+'Feb24'!Y42)</f>
        <v>0</v>
      </c>
      <c r="Z12" s="49">
        <f>IF(Q12=" ",'Feb24'!Z42,Q12+'Feb24'!Z42)</f>
        <v>0</v>
      </c>
      <c r="AA12" s="49">
        <f>IF(R12=" ",'Feb24'!AA42,R12+'Feb24'!AA42)</f>
        <v>0</v>
      </c>
      <c r="AC12" s="49">
        <f>IF(T12=" ",'Feb24'!AC42,T12+'Feb24'!AC42)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IF(T$9="Y",'Feb24'!H43,0)</f>
        <v>0</v>
      </c>
      <c r="I13" s="92">
        <f>IF(T$9="Y",'Feb24'!I43,0)</f>
        <v>0</v>
      </c>
      <c r="J13" s="92">
        <f>IF(T$9="Y",'Feb24'!J43,0)</f>
        <v>0</v>
      </c>
      <c r="K13" s="92">
        <f>IF(T$9="Y",'Feb24'!K43,I13*J13)</f>
        <v>0</v>
      </c>
      <c r="L13" s="111">
        <f>IF(T$9="Y",'Feb24'!L43,0)</f>
        <v>0</v>
      </c>
      <c r="M13" s="111" t="str">
        <f>IF(E13=" "," ",IF(T$9="Y",'Feb24'!M43,IF((H13+K13+L13)&gt;0,H13+K13+L13,"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IF(Employee!H$86=E$9,Employee!D$86+SUM(M13)+'Feb24'!V43,SUM(M13)+'Feb24'!V43)</f>
        <v>0</v>
      </c>
      <c r="W13" s="49">
        <f>IF(Employee!H$86=E$9,Employee!D$87+SUM(N13)+'Feb24'!W43,SUM(N13)+'Feb24'!W43)</f>
        <v>0</v>
      </c>
      <c r="X13" s="49">
        <f>IF(O13=" ",'Feb24'!X43,O13+'Feb24'!X43)</f>
        <v>0</v>
      </c>
      <c r="Y13" s="49">
        <f>IF(P13=" ",'Feb24'!Y43,P13+'Feb24'!Y43)</f>
        <v>0</v>
      </c>
      <c r="Z13" s="49">
        <f>IF(Q13=" ",'Feb24'!Z43,Q13+'Feb24'!Z43)</f>
        <v>0</v>
      </c>
      <c r="AA13" s="49">
        <f>IF(R13=" ",'Feb24'!AA43,R13+'Feb24'!AA43)</f>
        <v>0</v>
      </c>
      <c r="AC13" s="49">
        <f>IF(T13=" ",'Feb24'!AC43,T13+'Feb24'!AC43)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IF(T$9="Y",'Feb24'!H44,0)</f>
        <v>0</v>
      </c>
      <c r="I14" s="92">
        <f>IF(T$9="Y",'Feb24'!I44,0)</f>
        <v>0</v>
      </c>
      <c r="J14" s="92">
        <f>IF(T$9="Y",'Feb24'!J44,0)</f>
        <v>0</v>
      </c>
      <c r="K14" s="92">
        <f>IF(T$9="Y",'Feb24'!K44,I14*J14)</f>
        <v>0</v>
      </c>
      <c r="L14" s="111">
        <f>IF(T$9="Y",'Feb24'!L44,0)</f>
        <v>0</v>
      </c>
      <c r="M14" s="111" t="str">
        <f>IF(E14=" "," ",IF(T$9="Y",'Feb24'!M44,IF((H14+K14+L14)&gt;0,H14+K14+L14,"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IF(Employee!H$112=E$9,Employee!D$112+SUM(M14)+'Feb24'!V44,SUM(M14)+'Feb24'!V44)</f>
        <v>0</v>
      </c>
      <c r="W14" s="49">
        <f>IF(Employee!H$112=E$9,Employee!D$113+SUM(N14)+'Feb24'!W44,SUM(N14)+'Feb24'!W44)</f>
        <v>0</v>
      </c>
      <c r="X14" s="49">
        <f>IF(O14=" ",'Feb24'!X44,O14+'Feb24'!X44)</f>
        <v>0</v>
      </c>
      <c r="Y14" s="49">
        <f>IF(P14=" ",'Feb24'!Y44,P14+'Feb24'!Y44)</f>
        <v>0</v>
      </c>
      <c r="Z14" s="49">
        <f>IF(Q14=" ",'Feb24'!Z44,Q14+'Feb24'!Z44)</f>
        <v>0</v>
      </c>
      <c r="AA14" s="49">
        <f>IF(R14=" ",'Feb24'!AA44,R14+'Feb24'!AA44)</f>
        <v>0</v>
      </c>
      <c r="AC14" s="49">
        <f>IF(T14=" ",'Feb24'!AC44,T14+'Feb24'!AC44)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IF(T$9="Y",'Feb24'!H45,0)</f>
        <v>0</v>
      </c>
      <c r="I15" s="245">
        <f>IF(T$9="Y",'Feb24'!I45,0)</f>
        <v>0</v>
      </c>
      <c r="J15" s="245">
        <f>IF(T$9="Y",'Feb24'!J45,0)</f>
        <v>0</v>
      </c>
      <c r="K15" s="245">
        <f>IF(T$9="Y",'Feb24'!K45,I15*J15)</f>
        <v>0</v>
      </c>
      <c r="L15" s="246">
        <f>IF(T$9="Y",'Feb24'!L45,0)</f>
        <v>0</v>
      </c>
      <c r="M15" s="111" t="str">
        <f>IF(E15=" "," ",IF(T$9="Y",'Feb24'!M45,IF((H15+K15+L15)&gt;0,H15+K15+L15,"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IF(Employee!H$138=E$9,Employee!D$138+SUM(M15)+'Feb24'!V45,SUM(M15)+'Feb24'!V45)</f>
        <v>0</v>
      </c>
      <c r="W15" s="49">
        <f>IF(Employee!H$138=E$9,Employee!D$139+SUM(N15)+'Feb24'!W45,SUM(N15)+'Feb24'!W45)</f>
        <v>0</v>
      </c>
      <c r="X15" s="49">
        <f>IF(O15=" ",'Feb24'!X45,O15+'Feb24'!X45)</f>
        <v>0</v>
      </c>
      <c r="Y15" s="49">
        <f>IF(P15=" ",'Feb24'!Y45,P15+'Feb24'!Y45)</f>
        <v>0</v>
      </c>
      <c r="Z15" s="49">
        <f>IF(Q15=" ",'Feb24'!Z45,Q15+'Feb24'!Z45)</f>
        <v>0</v>
      </c>
      <c r="AA15" s="49">
        <f>IF(R15=" ",'Feb24'!AA45,R15+'Feb24'!AA45)</f>
        <v>0</v>
      </c>
      <c r="AC15" s="49">
        <f>IF(T15=" ",'Feb24'!AC45,T15+'Feb24'!AC45)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9" t="s">
        <v>7</v>
      </c>
      <c r="G16" s="362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62"/>
      <c r="D18" s="362"/>
      <c r="E18" s="360"/>
      <c r="F18" s="32"/>
      <c r="G18" s="32"/>
      <c r="H18" s="43"/>
      <c r="I18" s="43"/>
      <c r="J18" s="43"/>
      <c r="K18" s="46"/>
      <c r="L18" s="46"/>
      <c r="M18" s="43"/>
      <c r="N18" s="32"/>
      <c r="O18" s="363" t="s">
        <v>28</v>
      </c>
      <c r="P18" s="364"/>
      <c r="Q18" s="365"/>
      <c r="R18" s="400"/>
      <c r="S18" s="401"/>
      <c r="T18" s="401"/>
      <c r="U18" s="33"/>
      <c r="AH18" s="35"/>
    </row>
    <row r="19" spans="1:34" ht="18" customHeight="1" thickTop="1" thickBot="1" x14ac:dyDescent="0.2">
      <c r="A19" s="34"/>
      <c r="B19" s="361" t="s">
        <v>9</v>
      </c>
      <c r="C19" s="362"/>
      <c r="D19" s="360"/>
      <c r="E19" s="156">
        <v>49</v>
      </c>
      <c r="F19" s="35"/>
      <c r="G19" s="35"/>
      <c r="H19" s="361" t="s">
        <v>28</v>
      </c>
      <c r="I19" s="362"/>
      <c r="J19" s="360"/>
      <c r="K19" s="204">
        <f>M9+1</f>
        <v>45356</v>
      </c>
      <c r="L19" s="203" t="s">
        <v>76</v>
      </c>
      <c r="M19" s="205">
        <f>K19+6</f>
        <v>45362</v>
      </c>
      <c r="N19" s="20"/>
      <c r="O19" s="402" t="s">
        <v>63</v>
      </c>
      <c r="P19" s="403"/>
      <c r="Q19" s="403"/>
      <c r="R19" s="404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9" t="s">
        <v>7</v>
      </c>
      <c r="G26" s="360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62"/>
      <c r="D28" s="362"/>
      <c r="E28" s="360"/>
      <c r="F28" s="32"/>
      <c r="G28" s="32"/>
      <c r="H28" s="43"/>
      <c r="I28" s="43"/>
      <c r="J28" s="43"/>
      <c r="K28" s="46"/>
      <c r="L28" s="46"/>
      <c r="M28" s="43"/>
      <c r="N28" s="32"/>
      <c r="O28" s="363" t="s">
        <v>28</v>
      </c>
      <c r="P28" s="364"/>
      <c r="Q28" s="365"/>
      <c r="R28" s="400"/>
      <c r="S28" s="401"/>
      <c r="T28" s="401"/>
      <c r="U28" s="33"/>
      <c r="AH28" s="35"/>
    </row>
    <row r="29" spans="1:34" ht="18" customHeight="1" thickTop="1" thickBot="1" x14ac:dyDescent="0.2">
      <c r="A29" s="34"/>
      <c r="B29" s="361" t="s">
        <v>9</v>
      </c>
      <c r="C29" s="362"/>
      <c r="D29" s="360"/>
      <c r="E29" s="156">
        <v>50</v>
      </c>
      <c r="F29" s="35"/>
      <c r="G29" s="35"/>
      <c r="H29" s="361" t="s">
        <v>28</v>
      </c>
      <c r="I29" s="362"/>
      <c r="J29" s="360"/>
      <c r="K29" s="204">
        <f>M19+1</f>
        <v>45363</v>
      </c>
      <c r="L29" s="203" t="s">
        <v>76</v>
      </c>
      <c r="M29" s="205">
        <f>K29+6</f>
        <v>45369</v>
      </c>
      <c r="N29" s="20"/>
      <c r="O29" s="402" t="s">
        <v>63</v>
      </c>
      <c r="P29" s="403"/>
      <c r="Q29" s="403"/>
      <c r="R29" s="404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9" t="s">
        <v>7</v>
      </c>
      <c r="G36" s="360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8"/>
      <c r="D38" s="438"/>
      <c r="E38" s="439"/>
      <c r="F38" s="32"/>
      <c r="G38" s="32"/>
      <c r="H38" s="32"/>
      <c r="I38" s="32"/>
      <c r="J38" s="32"/>
      <c r="K38" s="46"/>
      <c r="L38" s="46"/>
      <c r="M38" s="43"/>
      <c r="N38" s="32"/>
      <c r="O38" s="363" t="s">
        <v>28</v>
      </c>
      <c r="P38" s="364"/>
      <c r="Q38" s="365"/>
      <c r="R38" s="400"/>
      <c r="S38" s="401"/>
      <c r="T38" s="401"/>
      <c r="U38" s="33"/>
      <c r="AH38" s="35"/>
    </row>
    <row r="39" spans="1:34" ht="18" customHeight="1" thickTop="1" thickBot="1" x14ac:dyDescent="0.2">
      <c r="A39" s="34"/>
      <c r="B39" s="361" t="s">
        <v>9</v>
      </c>
      <c r="C39" s="440"/>
      <c r="D39" s="441"/>
      <c r="E39" s="156">
        <v>51</v>
      </c>
      <c r="F39" s="35"/>
      <c r="G39" s="35"/>
      <c r="H39" s="361" t="s">
        <v>28</v>
      </c>
      <c r="I39" s="440"/>
      <c r="J39" s="441"/>
      <c r="K39" s="204">
        <f>M29+1</f>
        <v>45370</v>
      </c>
      <c r="L39" s="203" t="s">
        <v>76</v>
      </c>
      <c r="M39" s="205">
        <f>K39+6</f>
        <v>45376</v>
      </c>
      <c r="N39" s="20"/>
      <c r="O39" s="402" t="s">
        <v>63</v>
      </c>
      <c r="P39" s="442"/>
      <c r="Q39" s="442"/>
      <c r="R39" s="44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9" t="s">
        <v>7</v>
      </c>
      <c r="G46" s="444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8"/>
      <c r="D48" s="438"/>
      <c r="E48" s="439"/>
      <c r="F48" s="32"/>
      <c r="G48" s="32"/>
      <c r="H48" s="32"/>
      <c r="I48" s="32"/>
      <c r="J48" s="32"/>
      <c r="K48" s="46"/>
      <c r="L48" s="46"/>
      <c r="M48" s="43"/>
      <c r="N48" s="32"/>
      <c r="O48" s="363" t="s">
        <v>28</v>
      </c>
      <c r="P48" s="364"/>
      <c r="Q48" s="365"/>
      <c r="R48" s="400"/>
      <c r="S48" s="401"/>
      <c r="T48" s="401"/>
      <c r="U48" s="33"/>
      <c r="AH48" s="35"/>
    </row>
    <row r="49" spans="1:34" ht="18" customHeight="1" thickTop="1" thickBot="1" x14ac:dyDescent="0.2">
      <c r="A49" s="34"/>
      <c r="B49" s="361" t="s">
        <v>9</v>
      </c>
      <c r="C49" s="440"/>
      <c r="D49" s="441"/>
      <c r="E49" s="156">
        <v>52</v>
      </c>
      <c r="F49" s="35"/>
      <c r="G49" s="35"/>
      <c r="H49" s="361" t="s">
        <v>28</v>
      </c>
      <c r="I49" s="440"/>
      <c r="J49" s="441"/>
      <c r="K49" s="204">
        <f>M39+1</f>
        <v>45377</v>
      </c>
      <c r="L49" s="203" t="s">
        <v>76</v>
      </c>
      <c r="M49" s="205">
        <f>K49+6</f>
        <v>45383</v>
      </c>
      <c r="N49" s="20"/>
      <c r="O49" s="402" t="s">
        <v>63</v>
      </c>
      <c r="P49" s="442"/>
      <c r="Q49" s="442"/>
      <c r="R49" s="443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9" t="s">
        <v>7</v>
      </c>
      <c r="G56" s="444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23</v>
      </c>
      <c r="C58" s="438"/>
      <c r="D58" s="438"/>
      <c r="E58" s="439"/>
      <c r="F58" s="32"/>
      <c r="G58" s="32"/>
      <c r="H58" s="32"/>
      <c r="I58" s="32"/>
      <c r="J58" s="32"/>
      <c r="K58" s="46"/>
      <c r="L58" s="46"/>
      <c r="M58" s="43"/>
      <c r="N58" s="32"/>
      <c r="O58" s="363" t="s">
        <v>28</v>
      </c>
      <c r="P58" s="364"/>
      <c r="Q58" s="365"/>
      <c r="R58" s="400"/>
      <c r="S58" s="401"/>
      <c r="T58" s="401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1" t="s">
        <v>9</v>
      </c>
      <c r="C59" s="440"/>
      <c r="D59" s="441"/>
      <c r="E59" s="156">
        <v>53</v>
      </c>
      <c r="F59" s="35"/>
      <c r="G59" s="35"/>
      <c r="H59" s="361" t="s">
        <v>28</v>
      </c>
      <c r="I59" s="440"/>
      <c r="J59" s="441"/>
      <c r="K59" s="204">
        <f>M49+1</f>
        <v>45384</v>
      </c>
      <c r="L59" s="203" t="s">
        <v>76</v>
      </c>
      <c r="M59" s="205">
        <f>K59+4</f>
        <v>45388</v>
      </c>
      <c r="N59" s="20"/>
      <c r="O59" s="402" t="s">
        <v>63</v>
      </c>
      <c r="P59" s="442"/>
      <c r="Q59" s="442"/>
      <c r="R59" s="443"/>
      <c r="S59" s="35"/>
      <c r="T59" s="164"/>
      <c r="U59" s="37"/>
      <c r="AH59" s="35"/>
    </row>
    <row r="60" spans="1:34" ht="18" customHeight="1" thickTop="1" x14ac:dyDescent="0.15">
      <c r="A60" s="34"/>
      <c r="B60" s="453" t="s">
        <v>65</v>
      </c>
      <c r="C60" s="454"/>
      <c r="D60" s="454"/>
      <c r="E60" s="454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9" t="s">
        <v>7</v>
      </c>
      <c r="G66" s="444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6" t="s">
        <v>24</v>
      </c>
      <c r="C68" s="362"/>
      <c r="D68" s="362"/>
      <c r="E68" s="360"/>
      <c r="F68" s="32"/>
      <c r="G68" s="32"/>
      <c r="H68" s="43"/>
      <c r="I68" s="43"/>
      <c r="J68" s="43"/>
      <c r="K68" s="46"/>
      <c r="L68" s="46"/>
      <c r="M68" s="43"/>
      <c r="N68" s="32"/>
      <c r="O68" s="363" t="s">
        <v>28</v>
      </c>
      <c r="P68" s="364"/>
      <c r="Q68" s="365"/>
      <c r="R68" s="400"/>
      <c r="S68" s="401"/>
      <c r="T68" s="401"/>
      <c r="U68" s="33"/>
      <c r="AH68" s="35"/>
    </row>
    <row r="69" spans="1:34" ht="18" customHeight="1" thickTop="1" thickBot="1" x14ac:dyDescent="0.2">
      <c r="A69" s="34"/>
      <c r="B69" s="361" t="s">
        <v>10</v>
      </c>
      <c r="C69" s="362"/>
      <c r="D69" s="360"/>
      <c r="E69" s="156">
        <v>12</v>
      </c>
      <c r="F69" s="35"/>
      <c r="G69" s="35"/>
      <c r="H69" s="361" t="s">
        <v>28</v>
      </c>
      <c r="I69" s="362"/>
      <c r="J69" s="360"/>
      <c r="K69" s="204">
        <f>Admin!B331</f>
        <v>45351</v>
      </c>
      <c r="L69" s="203" t="s">
        <v>76</v>
      </c>
      <c r="M69" s="205">
        <f>Admin!B361</f>
        <v>45381</v>
      </c>
      <c r="N69" s="20"/>
      <c r="O69" s="402" t="s">
        <v>64</v>
      </c>
      <c r="P69" s="403"/>
      <c r="Q69" s="403"/>
      <c r="R69" s="404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IF(T$69="Y",'Feb24'!H51,0)</f>
        <v>0</v>
      </c>
      <c r="I71" s="89">
        <f>IF(T$69="Y",'Feb24'!I51,0)</f>
        <v>0</v>
      </c>
      <c r="J71" s="89">
        <f>IF(T$69="Y",'Feb24'!J51,0)</f>
        <v>0</v>
      </c>
      <c r="K71" s="89">
        <f>IF(T$69="Y",'Feb24'!K51,I71*J71)</f>
        <v>0</v>
      </c>
      <c r="L71" s="110">
        <f>IF(T$69="Y",'Feb24'!L51,0)</f>
        <v>0</v>
      </c>
      <c r="M71" s="99" t="str">
        <f>IF(E71=" "," ",IF(T$69="Y",'Feb24'!M51,IF((H71+K71+L71)&gt;0,H71+K71+L71,"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IF(Employee!H$35=E$69,Employee!D$34+SUM(M71)+'Feb24'!V51,SUM(M71)+'Feb24'!V51)</f>
        <v>0</v>
      </c>
      <c r="W71" s="49">
        <f>IF(Employee!H$35=E$69,Employee!D$35+SUM(N71)+'Feb24'!W51,SUM(N71)+'Feb24'!W51)</f>
        <v>0</v>
      </c>
      <c r="X71" s="49">
        <f>IF(O71=" ",'Feb24'!X51,O71+'Feb24'!X51)</f>
        <v>0</v>
      </c>
      <c r="Y71" s="49">
        <f>IF(P71=" ",'Feb24'!Y51,P71+'Feb24'!Y51)</f>
        <v>0</v>
      </c>
      <c r="Z71" s="49">
        <f>IF(Q71=" ",'Feb24'!Z51,Q71+'Feb24'!Z51)</f>
        <v>0</v>
      </c>
      <c r="AA71" s="49">
        <f>IF(R71=" ",'Feb24'!AA51,R71+'Feb24'!AA51)</f>
        <v>0</v>
      </c>
      <c r="AC71" s="49">
        <f>IF(T71=" ",'Feb24'!AC51,T71+'Feb24'!AC51)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IF(T$69="Y",'Feb24'!H52,0)</f>
        <v>0</v>
      </c>
      <c r="I72" s="92">
        <f>IF(T$69="Y",'Feb24'!I52,0)</f>
        <v>0</v>
      </c>
      <c r="J72" s="92">
        <f>IF(T$69="Y",'Feb24'!J52,0)</f>
        <v>0</v>
      </c>
      <c r="K72" s="92">
        <f>IF(T$69="Y",'Feb24'!K52,I72*J72)</f>
        <v>0</v>
      </c>
      <c r="L72" s="111">
        <f>IF(T$69="Y",'Feb24'!L52,0)</f>
        <v>0</v>
      </c>
      <c r="M72" s="100" t="str">
        <f>IF(E72=" "," ",IF(T$69="Y",'Feb24'!M52,IF((H72+K72+L72)&gt;0,H72+K72+L72,"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IF(Employee!H$61=E$69,Employee!D$60+SUM(M72)+'Feb24'!V52,SUM(M72)+'Feb24'!V52)</f>
        <v>0</v>
      </c>
      <c r="W72" s="49">
        <f>IF(Employee!H$61=E$69,Employee!D$61+SUM(N72)+'Feb24'!W52,SUM(N72)+'Feb24'!W52)</f>
        <v>0</v>
      </c>
      <c r="X72" s="49">
        <f>IF(O72=" ",'Feb24'!X52,O72+'Feb24'!X52)</f>
        <v>0</v>
      </c>
      <c r="Y72" s="49">
        <f>IF(P72=" ",'Feb24'!Y52,P72+'Feb24'!Y52)</f>
        <v>0</v>
      </c>
      <c r="Z72" s="49">
        <f>IF(Q72=" ",'Feb24'!Z52,Q72+'Feb24'!Z52)</f>
        <v>0</v>
      </c>
      <c r="AA72" s="49">
        <f>IF(R72=" ",'Feb24'!AA52,R72+'Feb24'!AA52)</f>
        <v>0</v>
      </c>
      <c r="AC72" s="49">
        <f>IF(T72=" ",'Feb24'!AC52,T72+'Feb24'!AC52)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IF(T$69="Y",'Feb24'!H53,0)</f>
        <v>0</v>
      </c>
      <c r="I73" s="92">
        <f>IF(T$69="Y",'Feb24'!I53,0)</f>
        <v>0</v>
      </c>
      <c r="J73" s="92">
        <f>IF(T$69="Y",'Feb24'!J53,0)</f>
        <v>0</v>
      </c>
      <c r="K73" s="92">
        <f>IF(T$69="Y",'Feb24'!K53,I73*J73)</f>
        <v>0</v>
      </c>
      <c r="L73" s="111">
        <f>IF(T$69="Y",'Feb24'!L53,0)</f>
        <v>0</v>
      </c>
      <c r="M73" s="100" t="str">
        <f>IF(E73=" "," ",IF(T$69="Y",'Feb24'!M53,IF((H73+K73+L73)&gt;0,H73+K73+L73,"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IF(Employee!H$87=E$69,Employee!D$86+SUM(M73)+'Feb24'!V53,SUM(M73)+'Feb24'!V53)</f>
        <v>0</v>
      </c>
      <c r="W73" s="49">
        <f>IF(Employee!H$87=E$69,Employee!D$87+SUM(N73)+'Feb24'!W53,SUM(N73)+'Feb24'!W53)</f>
        <v>0</v>
      </c>
      <c r="X73" s="49">
        <f>IF(O73=" ",'Feb24'!X53,O73+'Feb24'!X53)</f>
        <v>0</v>
      </c>
      <c r="Y73" s="49">
        <f>IF(P73=" ",'Feb24'!Y53,P73+'Feb24'!Y53)</f>
        <v>0</v>
      </c>
      <c r="Z73" s="49">
        <f>IF(Q73=" ",'Feb24'!Z53,Q73+'Feb24'!Z53)</f>
        <v>0</v>
      </c>
      <c r="AA73" s="49">
        <f>IF(R73=" ",'Feb24'!AA53,R73+'Feb24'!AA53)</f>
        <v>0</v>
      </c>
      <c r="AC73" s="49">
        <f>IF(T73=" ",'Feb24'!AC53,T73+'Feb24'!AC53)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IF(T$69="Y",'Feb24'!H54,0)</f>
        <v>0</v>
      </c>
      <c r="I74" s="92">
        <f>IF(T$69="Y",'Feb24'!I54,0)</f>
        <v>0</v>
      </c>
      <c r="J74" s="92">
        <f>IF(T$69="Y",'Feb24'!J54,0)</f>
        <v>0</v>
      </c>
      <c r="K74" s="92">
        <f>IF(T$69="Y",'Feb24'!K54,I74*J74)</f>
        <v>0</v>
      </c>
      <c r="L74" s="111">
        <f>IF(T$69="Y",'Feb24'!L54,0)</f>
        <v>0</v>
      </c>
      <c r="M74" s="100" t="str">
        <f>IF(E74=" "," ",IF(T$69="Y",'Feb24'!M54,IF((H74+K74+L74)&gt;0,H74+K74+L74,"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IF(Employee!H$113=E$69,Employee!D$112+SUM(M74)+'Feb24'!V54,SUM(M74)+'Feb24'!V54)</f>
        <v>0</v>
      </c>
      <c r="W74" s="49">
        <f>IF(Employee!H$113=E$69,Employee!D$113+SUM(N74)+'Feb24'!W54,SUM(N74)+'Feb24'!W54)</f>
        <v>0</v>
      </c>
      <c r="X74" s="49">
        <f>IF(O74=" ",'Feb24'!X54,O74+'Feb24'!X54)</f>
        <v>0</v>
      </c>
      <c r="Y74" s="49">
        <f>IF(P74=" ",'Feb24'!Y54,P74+'Feb24'!Y54)</f>
        <v>0</v>
      </c>
      <c r="Z74" s="49">
        <f>IF(Q74=" ",'Feb24'!Z54,Q74+'Feb24'!Z54)</f>
        <v>0</v>
      </c>
      <c r="AA74" s="49">
        <f>IF(R74=" ",'Feb24'!AA54,R74+'Feb24'!AA54)</f>
        <v>0</v>
      </c>
      <c r="AC74" s="49">
        <f>IF(T74=" ",'Feb24'!AC54,T74+'Feb24'!AC54)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IF(T$69="Y",'Feb24'!H55,0)</f>
        <v>0</v>
      </c>
      <c r="I75" s="245">
        <f>IF(T$69="Y",'Feb24'!I55,0)</f>
        <v>0</v>
      </c>
      <c r="J75" s="245">
        <f>IF(T$69="Y",'Feb24'!J55,0)</f>
        <v>0</v>
      </c>
      <c r="K75" s="245">
        <f>IF(T$69="Y",'Feb24'!K55,I75*J75)</f>
        <v>0</v>
      </c>
      <c r="L75" s="246">
        <f>IF(T$69="Y",'Feb24'!L55,0)</f>
        <v>0</v>
      </c>
      <c r="M75" s="100" t="str">
        <f>IF(E75=" "," ",IF(T$69="Y",'Feb24'!M55,IF((H75+K75+L75)&gt;0,H75+K75+L75,"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IF(Employee!H$139=E$69,Employee!D$138+SUM(M75)+'Feb24'!V55,SUM(M75)+'Feb24'!V55)</f>
        <v>0</v>
      </c>
      <c r="W75" s="49">
        <f>IF(Employee!H$139=E$69,Employee!D$139+SUM(N75)+'Feb24'!W55,SUM(N75)+'Feb24'!W55)</f>
        <v>0</v>
      </c>
      <c r="X75" s="49">
        <f>IF(O75=" ",'Feb24'!X55,O75+'Feb24'!X55)</f>
        <v>0</v>
      </c>
      <c r="Y75" s="49">
        <f>IF(P75=" ",'Feb24'!Y55,P75+'Feb24'!Y55)</f>
        <v>0</v>
      </c>
      <c r="Z75" s="49">
        <f>IF(Q75=" ",'Feb24'!Z55,Q75+'Feb24'!Z55)</f>
        <v>0</v>
      </c>
      <c r="AA75" s="49">
        <f>IF(R75=" ",'Feb24'!AA55,R75+'Feb24'!AA55)</f>
        <v>0</v>
      </c>
      <c r="AC75" s="49">
        <f>IF(T75=" ",'Feb24'!AC55,T75+'Feb24'!AC55)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9" t="s">
        <v>7</v>
      </c>
      <c r="G76" s="360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6" t="s">
        <v>74</v>
      </c>
      <c r="N79" s="417"/>
      <c r="O79" s="417"/>
      <c r="P79" s="417"/>
      <c r="Q79" s="417"/>
      <c r="R79" s="417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AD80+'Feb24'!AD65</f>
        <v>0</v>
      </c>
      <c r="AE85" s="158">
        <f>AE80+'Feb24'!AE65</f>
        <v>0</v>
      </c>
      <c r="AF85" s="158">
        <f>AF80+'Feb24'!AF65</f>
        <v>0</v>
      </c>
      <c r="AG85" s="158">
        <f>AG80+'Feb24'!AG65</f>
        <v>0</v>
      </c>
    </row>
    <row r="86" spans="6:33" ht="14" thickTop="1" x14ac:dyDescent="0.15"/>
    <row r="87" spans="6:33" x14ac:dyDescent="0.15">
      <c r="AD87" s="162"/>
      <c r="AE87" s="158">
        <f>AE82+'Feb24'!AE67</f>
        <v>0</v>
      </c>
      <c r="AF87" s="158">
        <f>AF82+'Feb24'!AF67</f>
        <v>0</v>
      </c>
      <c r="AG87" s="158">
        <f>AG82+'Feb24'!AG67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Apr23</v>
      </c>
      <c r="I3" s="479" t="str">
        <f>IF(M3="ERROR","Enter W or M in cell F3"," ")</f>
        <v xml:space="preserve"> </v>
      </c>
      <c r="J3" s="479"/>
      <c r="K3" s="479"/>
      <c r="L3" s="479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9" t="str">
        <f>IF(M3="ERROR","Enter 1 to 53 in cell F4"," ")</f>
        <v xml:space="preserve"> </v>
      </c>
      <c r="J4" s="479"/>
      <c r="K4" s="479"/>
      <c r="L4" s="479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5"/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</row>
    <row r="7" spans="1:14" ht="25" customHeight="1" x14ac:dyDescent="0.2">
      <c r="A7" s="256"/>
      <c r="B7" s="473" t="str">
        <f ca="1">IF(M14=" "," ",Employee!$D$5)</f>
        <v xml:space="preserve"> </v>
      </c>
      <c r="C7" s="473"/>
      <c r="D7" s="473"/>
      <c r="E7" s="473"/>
      <c r="F7" s="473"/>
      <c r="G7" s="468" t="str">
        <f ca="1">IF(G14=" "," ",Employee!$D$15)</f>
        <v xml:space="preserve"> </v>
      </c>
      <c r="H7" s="469"/>
      <c r="I7" s="480" t="str">
        <f ca="1">IF(G14=" "," ",Employee!$D$16)</f>
        <v xml:space="preserve"> </v>
      </c>
      <c r="J7" s="481"/>
      <c r="K7" s="481"/>
      <c r="L7" s="460" t="str">
        <f ca="1">INDIRECT($H$3 &amp; "!B" &amp; $H$4)</f>
        <v>WEEKLY PAYROLL</v>
      </c>
      <c r="M7" s="460"/>
      <c r="N7" s="257"/>
    </row>
    <row r="8" spans="1:14" ht="18" customHeight="1" x14ac:dyDescent="0.15">
      <c r="A8" s="258"/>
      <c r="B8" s="464" t="str">
        <f ca="1">IF(M14=" "," ",Employee!$D$6)</f>
        <v xml:space="preserve"> </v>
      </c>
      <c r="C8" s="464"/>
      <c r="D8" s="465"/>
      <c r="E8" s="466"/>
      <c r="F8" s="467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4" t="str">
        <f ca="1">IF(M14=" "," ",Employee!$D$7)</f>
        <v xml:space="preserve"> </v>
      </c>
      <c r="C9" s="464"/>
      <c r="D9" s="464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45025</v>
      </c>
      <c r="J9" s="482" t="s">
        <v>6</v>
      </c>
      <c r="K9" s="482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8"/>
      <c r="E10" s="489"/>
      <c r="F10" s="486"/>
      <c r="G10" s="486"/>
      <c r="H10" s="253" t="str">
        <f>"Tax "&amp;IF($F$3="W","Week","Month")</f>
        <v>Tax Week</v>
      </c>
      <c r="I10" s="268">
        <f ca="1">INDIRECT($H$3 &amp; "!E" &amp; $H$4+1)</f>
        <v>1</v>
      </c>
      <c r="J10" s="478" t="str">
        <f ca="1">IF(M8=" "," ",INDIRECT($H$3 &amp; "!D" &amp; $H$4+2+C10))</f>
        <v xml:space="preserve"> </v>
      </c>
      <c r="K10" s="478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262"/>
    </row>
    <row r="12" spans="1:14" ht="21" customHeight="1" x14ac:dyDescent="0.15">
      <c r="A12" s="258"/>
      <c r="B12" s="474" t="s">
        <v>122</v>
      </c>
      <c r="C12" s="475"/>
      <c r="D12" s="475"/>
      <c r="E12" s="475"/>
      <c r="F12" s="475"/>
      <c r="G12" s="476" t="s">
        <v>121</v>
      </c>
      <c r="H12" s="483" t="s">
        <v>120</v>
      </c>
      <c r="I12" s="483"/>
      <c r="J12" s="483"/>
      <c r="K12" s="483"/>
      <c r="L12" s="483"/>
      <c r="M12" s="487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7"/>
      <c r="H13" s="251" t="s">
        <v>128</v>
      </c>
      <c r="I13" s="252" t="s">
        <v>112</v>
      </c>
      <c r="J13" s="463" t="s">
        <v>111</v>
      </c>
      <c r="K13" s="463"/>
      <c r="L13" s="248" t="s">
        <v>2</v>
      </c>
      <c r="M13" s="476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8" t="str">
        <f ca="1">IF(M8=" "," ",INDIRECT($H$3 &amp; "!P" &amp; $H$4+2+C10))</f>
        <v xml:space="preserve"> </v>
      </c>
      <c r="K14" s="458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2" t="s">
        <v>110</v>
      </c>
      <c r="C15" s="472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6" t="s">
        <v>109</v>
      </c>
      <c r="F16" s="457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8" t="str">
        <f ca="1">IF(M8=" "," ",INDIRECT($H$3 &amp; "!Y" &amp; $H$4+2+C10))</f>
        <v xml:space="preserve"> </v>
      </c>
      <c r="K16" s="458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9"/>
      <c r="K17" s="459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0" t="s">
        <v>108</v>
      </c>
      <c r="K18" s="471"/>
      <c r="L18" s="471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5"/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</row>
    <row r="21" spans="1:14" ht="25" customHeight="1" x14ac:dyDescent="0.2">
      <c r="A21" s="256"/>
      <c r="B21" s="473" t="str">
        <f ca="1">IF(M28=" "," ",Employee!$D$5)</f>
        <v xml:space="preserve"> </v>
      </c>
      <c r="C21" s="473"/>
      <c r="D21" s="473"/>
      <c r="E21" s="473"/>
      <c r="F21" s="473"/>
      <c r="G21" s="468" t="str">
        <f ca="1">IF(G28=" "," ",Employee!$D$41)</f>
        <v xml:space="preserve"> </v>
      </c>
      <c r="H21" s="469"/>
      <c r="I21" s="480" t="str">
        <f ca="1">IF(G28=" "," ",Employee!$D$42)</f>
        <v xml:space="preserve"> </v>
      </c>
      <c r="J21" s="481"/>
      <c r="K21" s="481"/>
      <c r="L21" s="460" t="s">
        <v>23</v>
      </c>
      <c r="M21" s="460"/>
      <c r="N21" s="257"/>
    </row>
    <row r="22" spans="1:14" ht="18" customHeight="1" x14ac:dyDescent="0.15">
      <c r="A22" s="258"/>
      <c r="B22" s="464" t="str">
        <f ca="1">IF(M28=" "," ",Employee!$D$6)</f>
        <v xml:space="preserve"> </v>
      </c>
      <c r="C22" s="464"/>
      <c r="D22" s="465"/>
      <c r="E22" s="466"/>
      <c r="F22" s="467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4" t="str">
        <f ca="1">IF(M28=" "," ",Employee!$D$7)</f>
        <v xml:space="preserve"> </v>
      </c>
      <c r="C23" s="464"/>
      <c r="D23" s="464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2" t="s">
        <v>6</v>
      </c>
      <c r="K23" s="482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9"/>
      <c r="G24" s="459"/>
      <c r="H24" s="253" t="s">
        <v>124</v>
      </c>
      <c r="I24" s="268">
        <f ca="1">I10</f>
        <v>1</v>
      </c>
      <c r="J24" s="478" t="str">
        <f ca="1">IF(M22=" "," ",INDIRECT($H$3 &amp; "!D" &amp; $H$4+2+C24))</f>
        <v xml:space="preserve"> </v>
      </c>
      <c r="K24" s="478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9"/>
      <c r="C25" s="459"/>
      <c r="D25" s="459"/>
      <c r="E25" s="459"/>
      <c r="F25" s="459"/>
      <c r="G25" s="459"/>
      <c r="H25" s="459"/>
      <c r="I25" s="459"/>
      <c r="J25" s="459"/>
      <c r="K25" s="459"/>
      <c r="L25" s="459"/>
      <c r="M25" s="459"/>
      <c r="N25" s="262"/>
    </row>
    <row r="26" spans="1:14" ht="21" customHeight="1" x14ac:dyDescent="0.15">
      <c r="A26" s="258"/>
      <c r="B26" s="474" t="s">
        <v>122</v>
      </c>
      <c r="C26" s="475"/>
      <c r="D26" s="475"/>
      <c r="E26" s="475"/>
      <c r="F26" s="475"/>
      <c r="G26" s="476" t="s">
        <v>121</v>
      </c>
      <c r="H26" s="474" t="s">
        <v>120</v>
      </c>
      <c r="I26" s="483"/>
      <c r="J26" s="483"/>
      <c r="K26" s="483"/>
      <c r="L26" s="483"/>
      <c r="M26" s="46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7"/>
      <c r="H27" s="252" t="s">
        <v>128</v>
      </c>
      <c r="I27" s="252" t="s">
        <v>112</v>
      </c>
      <c r="J27" s="463" t="s">
        <v>111</v>
      </c>
      <c r="K27" s="463"/>
      <c r="L27" s="248" t="s">
        <v>2</v>
      </c>
      <c r="M27" s="46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8" t="str">
        <f ca="1">IF(M22=" "," ",INDIRECT($H$3 &amp; "!P" &amp; $H$4+2+C24))</f>
        <v xml:space="preserve"> </v>
      </c>
      <c r="K28" s="458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2" t="s">
        <v>110</v>
      </c>
      <c r="C29" s="472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6" t="s">
        <v>109</v>
      </c>
      <c r="F30" s="457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8" t="str">
        <f ca="1">IF(M22=" "," ",INDIRECT($H$3 &amp; "!Y" &amp; $H$4+2+C24))</f>
        <v xml:space="preserve"> </v>
      </c>
      <c r="K30" s="458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9"/>
      <c r="K31" s="459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0" t="s">
        <v>108</v>
      </c>
      <c r="K32" s="471"/>
      <c r="L32" s="471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4"/>
      <c r="B34" s="485"/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</row>
    <row r="35" spans="1:14" ht="21" customHeight="1" x14ac:dyDescent="0.15">
      <c r="A35" s="455"/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</row>
    <row r="36" spans="1:14" ht="25" customHeight="1" x14ac:dyDescent="0.2">
      <c r="A36" s="256"/>
      <c r="B36" s="473" t="str">
        <f ca="1">IF(M43=" "," ",Employee!$D$5)</f>
        <v xml:space="preserve"> </v>
      </c>
      <c r="C36" s="473"/>
      <c r="D36" s="473"/>
      <c r="E36" s="473"/>
      <c r="F36" s="473"/>
      <c r="G36" s="468" t="str">
        <f ca="1">IF(G43=" "," ",Employee!$D$67)</f>
        <v xml:space="preserve"> </v>
      </c>
      <c r="H36" s="469"/>
      <c r="I36" s="480" t="str">
        <f ca="1">IF(G43=" "," ",Employee!$D$68)</f>
        <v xml:space="preserve"> </v>
      </c>
      <c r="J36" s="481"/>
      <c r="K36" s="481"/>
      <c r="L36" s="460" t="s">
        <v>23</v>
      </c>
      <c r="M36" s="460"/>
      <c r="N36" s="257"/>
    </row>
    <row r="37" spans="1:14" ht="18" customHeight="1" x14ac:dyDescent="0.15">
      <c r="A37" s="258"/>
      <c r="B37" s="464" t="str">
        <f ca="1">IF(M43=" "," ",Employee!$D$6)</f>
        <v xml:space="preserve"> </v>
      </c>
      <c r="C37" s="464"/>
      <c r="D37" s="465"/>
      <c r="E37" s="466"/>
      <c r="F37" s="467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4" t="str">
        <f ca="1">IF(M43=" "," ",Employee!$D$7)</f>
        <v xml:space="preserve"> </v>
      </c>
      <c r="C38" s="464"/>
      <c r="D38" s="464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2" t="s">
        <v>6</v>
      </c>
      <c r="K38" s="482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9"/>
      <c r="G39" s="459"/>
      <c r="H39" s="253" t="s">
        <v>124</v>
      </c>
      <c r="I39" s="268">
        <f ca="1">I24</f>
        <v>1</v>
      </c>
      <c r="J39" s="478" t="str">
        <f ca="1">IF(M37=" "," ",INDIRECT($H$3 &amp; "!D" &amp; $H$4+2+C39))</f>
        <v xml:space="preserve"> </v>
      </c>
      <c r="K39" s="478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9"/>
      <c r="C40" s="459"/>
      <c r="D40" s="459"/>
      <c r="E40" s="459"/>
      <c r="F40" s="459"/>
      <c r="G40" s="459"/>
      <c r="H40" s="459"/>
      <c r="I40" s="459"/>
      <c r="J40" s="459"/>
      <c r="K40" s="459"/>
      <c r="L40" s="459"/>
      <c r="M40" s="459"/>
      <c r="N40" s="262"/>
    </row>
    <row r="41" spans="1:14" ht="21" customHeight="1" x14ac:dyDescent="0.15">
      <c r="A41" s="258"/>
      <c r="B41" s="474" t="s">
        <v>122</v>
      </c>
      <c r="C41" s="475"/>
      <c r="D41" s="475"/>
      <c r="E41" s="475"/>
      <c r="F41" s="475"/>
      <c r="G41" s="476" t="s">
        <v>121</v>
      </c>
      <c r="H41" s="474" t="s">
        <v>120</v>
      </c>
      <c r="I41" s="483"/>
      <c r="J41" s="483"/>
      <c r="K41" s="483"/>
      <c r="L41" s="483"/>
      <c r="M41" s="46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7"/>
      <c r="H42" s="252" t="s">
        <v>128</v>
      </c>
      <c r="I42" s="252" t="s">
        <v>112</v>
      </c>
      <c r="J42" s="463" t="s">
        <v>111</v>
      </c>
      <c r="K42" s="463"/>
      <c r="L42" s="248" t="s">
        <v>2</v>
      </c>
      <c r="M42" s="46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8" t="str">
        <f ca="1">IF(M37=" "," ",INDIRECT($H$3 &amp; "!P" &amp; $H$4+2+C39))</f>
        <v xml:space="preserve"> </v>
      </c>
      <c r="K43" s="458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2" t="s">
        <v>110</v>
      </c>
      <c r="C44" s="472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6" t="s">
        <v>109</v>
      </c>
      <c r="F45" s="457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8" t="str">
        <f ca="1">IF(M37=" "," ",INDIRECT($H$3 &amp; "!Y" &amp; $H$4+2+C39))</f>
        <v xml:space="preserve"> </v>
      </c>
      <c r="K45" s="458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9"/>
      <c r="K46" s="459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0" t="s">
        <v>108</v>
      </c>
      <c r="K47" s="471"/>
      <c r="L47" s="471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5"/>
      <c r="B49" s="455"/>
      <c r="C49" s="455"/>
      <c r="D49" s="455"/>
      <c r="E49" s="455"/>
      <c r="F49" s="455"/>
      <c r="G49" s="455"/>
      <c r="H49" s="455"/>
      <c r="I49" s="455"/>
      <c r="J49" s="455"/>
      <c r="K49" s="455"/>
      <c r="L49" s="455"/>
      <c r="M49" s="455"/>
      <c r="N49" s="455"/>
    </row>
    <row r="50" spans="1:14" ht="25" customHeight="1" x14ac:dyDescent="0.2">
      <c r="A50" s="256"/>
      <c r="B50" s="473" t="str">
        <f ca="1">IF(M57=" "," ",Employee!$D$5)</f>
        <v xml:space="preserve"> </v>
      </c>
      <c r="C50" s="473"/>
      <c r="D50" s="473"/>
      <c r="E50" s="473"/>
      <c r="F50" s="473"/>
      <c r="G50" s="468" t="str">
        <f ca="1">IF(G57=" "," ",Employee!$D$93)</f>
        <v xml:space="preserve"> </v>
      </c>
      <c r="H50" s="469"/>
      <c r="I50" s="480" t="str">
        <f ca="1">IF(G57=" "," ",Employee!$D$94)</f>
        <v xml:space="preserve"> </v>
      </c>
      <c r="J50" s="481"/>
      <c r="K50" s="481"/>
      <c r="L50" s="460" t="s">
        <v>23</v>
      </c>
      <c r="M50" s="460"/>
      <c r="N50" s="257"/>
    </row>
    <row r="51" spans="1:14" ht="18" customHeight="1" x14ac:dyDescent="0.15">
      <c r="A51" s="258"/>
      <c r="B51" s="464" t="str">
        <f ca="1">IF(M57=" "," ",Employee!$D$6)</f>
        <v xml:space="preserve"> </v>
      </c>
      <c r="C51" s="464"/>
      <c r="D51" s="465"/>
      <c r="E51" s="466"/>
      <c r="F51" s="467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4" t="str">
        <f ca="1">IF(M57=" "," ",Employee!$D$7)</f>
        <v xml:space="preserve"> </v>
      </c>
      <c r="C52" s="464"/>
      <c r="D52" s="464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2" t="s">
        <v>6</v>
      </c>
      <c r="K52" s="482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9"/>
      <c r="G53" s="459"/>
      <c r="H53" s="253" t="s">
        <v>124</v>
      </c>
      <c r="I53" s="268">
        <f ca="1">I39</f>
        <v>1</v>
      </c>
      <c r="J53" s="478" t="str">
        <f ca="1">IF(M51=" "," ",INDIRECT($H$3 &amp; "!D" &amp; $H$4+2+C53))</f>
        <v xml:space="preserve"> </v>
      </c>
      <c r="K53" s="478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9"/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262"/>
    </row>
    <row r="55" spans="1:14" ht="21" customHeight="1" x14ac:dyDescent="0.15">
      <c r="A55" s="258"/>
      <c r="B55" s="474" t="s">
        <v>122</v>
      </c>
      <c r="C55" s="475"/>
      <c r="D55" s="475"/>
      <c r="E55" s="475"/>
      <c r="F55" s="475"/>
      <c r="G55" s="476" t="s">
        <v>121</v>
      </c>
      <c r="H55" s="474" t="s">
        <v>120</v>
      </c>
      <c r="I55" s="483"/>
      <c r="J55" s="483"/>
      <c r="K55" s="483"/>
      <c r="L55" s="483"/>
      <c r="M55" s="46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7"/>
      <c r="H56" s="252" t="s">
        <v>128</v>
      </c>
      <c r="I56" s="252" t="s">
        <v>112</v>
      </c>
      <c r="J56" s="463" t="s">
        <v>111</v>
      </c>
      <c r="K56" s="463"/>
      <c r="L56" s="248" t="s">
        <v>2</v>
      </c>
      <c r="M56" s="46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8" t="str">
        <f ca="1">IF(M51=" "," ",INDIRECT($H$3 &amp; "!P" &amp; $H$4+2+C53))</f>
        <v xml:space="preserve"> </v>
      </c>
      <c r="K57" s="458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2" t="s">
        <v>110</v>
      </c>
      <c r="C58" s="472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6" t="s">
        <v>109</v>
      </c>
      <c r="F59" s="457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8" t="str">
        <f ca="1">IF(M51=" "," ",INDIRECT($H$3 &amp; "!Y" &amp; $H$4+2+C53))</f>
        <v xml:space="preserve"> </v>
      </c>
      <c r="K59" s="458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9"/>
      <c r="K60" s="459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0" t="s">
        <v>108</v>
      </c>
      <c r="K61" s="471"/>
      <c r="L61" s="471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4"/>
      <c r="B63" s="485"/>
      <c r="C63" s="485"/>
      <c r="D63" s="485"/>
      <c r="E63" s="485"/>
      <c r="F63" s="485"/>
      <c r="G63" s="485"/>
      <c r="H63" s="485"/>
      <c r="I63" s="485"/>
      <c r="J63" s="485"/>
      <c r="K63" s="485"/>
      <c r="L63" s="485"/>
      <c r="M63" s="485"/>
      <c r="N63" s="485"/>
    </row>
    <row r="64" spans="1:14" ht="21" customHeight="1" x14ac:dyDescent="0.15">
      <c r="A64" s="455"/>
      <c r="B64" s="455"/>
      <c r="C64" s="455"/>
      <c r="D64" s="455"/>
      <c r="E64" s="455"/>
      <c r="F64" s="455"/>
      <c r="G64" s="455"/>
      <c r="H64" s="455"/>
      <c r="I64" s="455"/>
      <c r="J64" s="455"/>
      <c r="K64" s="455"/>
      <c r="L64" s="455"/>
      <c r="M64" s="455"/>
      <c r="N64" s="455"/>
    </row>
    <row r="65" spans="1:14" ht="25" customHeight="1" x14ac:dyDescent="0.2">
      <c r="A65" s="256"/>
      <c r="B65" s="473" t="str">
        <f ca="1">IF(M72=" "," ",Employee!$D$5)</f>
        <v xml:space="preserve"> </v>
      </c>
      <c r="C65" s="473"/>
      <c r="D65" s="473"/>
      <c r="E65" s="473"/>
      <c r="F65" s="473"/>
      <c r="G65" s="468" t="str">
        <f ca="1">IF(G72=" "," ",Employee!$D$119)</f>
        <v xml:space="preserve"> </v>
      </c>
      <c r="H65" s="469"/>
      <c r="I65" s="480" t="str">
        <f ca="1">IF(G72=" "," ",Employee!$D$120)</f>
        <v xml:space="preserve"> </v>
      </c>
      <c r="J65" s="481"/>
      <c r="K65" s="481"/>
      <c r="L65" s="460" t="s">
        <v>23</v>
      </c>
      <c r="M65" s="460"/>
      <c r="N65" s="257"/>
    </row>
    <row r="66" spans="1:14" ht="18" customHeight="1" x14ac:dyDescent="0.15">
      <c r="A66" s="258"/>
      <c r="B66" s="464" t="str">
        <f ca="1">IF(M72=" "," ",Employee!$D$6)</f>
        <v xml:space="preserve"> </v>
      </c>
      <c r="C66" s="464"/>
      <c r="D66" s="465"/>
      <c r="E66" s="466"/>
      <c r="F66" s="467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4" t="str">
        <f ca="1">IF(M72=" "," ",Employee!$D$7)</f>
        <v xml:space="preserve"> </v>
      </c>
      <c r="C67" s="464"/>
      <c r="D67" s="464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2" t="s">
        <v>6</v>
      </c>
      <c r="K67" s="482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9"/>
      <c r="G68" s="459"/>
      <c r="H68" s="253" t="s">
        <v>124</v>
      </c>
      <c r="I68" s="268">
        <f ca="1">I53</f>
        <v>1</v>
      </c>
      <c r="J68" s="478" t="str">
        <f ca="1">IF(M66=" "," ",INDIRECT($H$3 &amp; "!D" &amp; $H$4+2+C68))</f>
        <v xml:space="preserve"> </v>
      </c>
      <c r="K68" s="478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9"/>
      <c r="C69" s="459"/>
      <c r="D69" s="459"/>
      <c r="E69" s="459"/>
      <c r="F69" s="459"/>
      <c r="G69" s="459"/>
      <c r="H69" s="459"/>
      <c r="I69" s="459"/>
      <c r="J69" s="459"/>
      <c r="K69" s="459"/>
      <c r="L69" s="459"/>
      <c r="M69" s="459"/>
      <c r="N69" s="262"/>
    </row>
    <row r="70" spans="1:14" ht="21" customHeight="1" x14ac:dyDescent="0.15">
      <c r="A70" s="258"/>
      <c r="B70" s="474" t="s">
        <v>122</v>
      </c>
      <c r="C70" s="475"/>
      <c r="D70" s="475"/>
      <c r="E70" s="475"/>
      <c r="F70" s="475"/>
      <c r="G70" s="476" t="s">
        <v>121</v>
      </c>
      <c r="H70" s="474" t="s">
        <v>120</v>
      </c>
      <c r="I70" s="483"/>
      <c r="J70" s="483"/>
      <c r="K70" s="483"/>
      <c r="L70" s="483"/>
      <c r="M70" s="46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7"/>
      <c r="H71" s="252" t="s">
        <v>113</v>
      </c>
      <c r="I71" s="252" t="s">
        <v>112</v>
      </c>
      <c r="J71" s="463" t="s">
        <v>111</v>
      </c>
      <c r="K71" s="463"/>
      <c r="L71" s="248" t="s">
        <v>2</v>
      </c>
      <c r="M71" s="46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8" t="str">
        <f ca="1">IF(M66=" "," ",INDIRECT($H$3 &amp; "!P" &amp; $H$4+2+C68))</f>
        <v xml:space="preserve"> </v>
      </c>
      <c r="K72" s="458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2" t="s">
        <v>110</v>
      </c>
      <c r="C73" s="472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6" t="s">
        <v>109</v>
      </c>
      <c r="F74" s="457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8" t="str">
        <f ca="1">IF(M66=" "," ",INDIRECT($H$3 &amp; "!Y" &amp; $H$4+2+C68))</f>
        <v xml:space="preserve"> </v>
      </c>
      <c r="K74" s="458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9"/>
      <c r="K75" s="459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0" t="s">
        <v>108</v>
      </c>
      <c r="K76" s="471"/>
      <c r="L76" s="471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5"/>
      <c r="B78" s="455"/>
      <c r="C78" s="455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45046</v>
      </c>
      <c r="C4" s="229">
        <f>Admin!$B$45</f>
        <v>45065</v>
      </c>
      <c r="D4" s="227">
        <f>'Apr23'!T1+'Apr23'!O1</f>
        <v>0</v>
      </c>
      <c r="E4" s="228">
        <f>'Apr23'!N1</f>
        <v>0</v>
      </c>
      <c r="F4" s="228">
        <f>'Apr23'!AD60+'Apr23'!AE60+'Apr23'!AF60+'Apr23'!AG60</f>
        <v>0</v>
      </c>
      <c r="G4" s="228">
        <f>'Apr23'!AE62+'Apr23'!AF62+'Apr23'!AG62</f>
        <v>0</v>
      </c>
      <c r="H4" s="228">
        <f>'Apr23'!P1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45077</v>
      </c>
      <c r="C5" s="229">
        <f>Admin!$B$76</f>
        <v>45096</v>
      </c>
      <c r="D5" s="227">
        <f>'May23'!T1+'May23'!O1</f>
        <v>0</v>
      </c>
      <c r="E5" s="228">
        <f>'May23'!N1</f>
        <v>0</v>
      </c>
      <c r="F5" s="228">
        <f>'May23'!AD60+'May23'!AE60+'May23'!AF60+'May23'!AG60</f>
        <v>0</v>
      </c>
      <c r="G5" s="228">
        <f>'May23'!AE62+'May23'!AF62+'May23'!AG62</f>
        <v>0</v>
      </c>
      <c r="H5" s="228">
        <f>'May23'!P1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45107</v>
      </c>
      <c r="C6" s="229">
        <f>Admin!$B$106</f>
        <v>45126</v>
      </c>
      <c r="D6" s="227">
        <f>'Jun23'!T1+'Jun23'!O1</f>
        <v>0</v>
      </c>
      <c r="E6" s="228">
        <f>'Jun23'!N1</f>
        <v>0</v>
      </c>
      <c r="F6" s="228">
        <f>'Jun23'!AD70+'Jun23'!AE70+'Jun23'!AF70+'Jun23'!AG70</f>
        <v>0</v>
      </c>
      <c r="G6" s="228">
        <f>'Jun23'!AE72+'Jun23'!AF72+'Jun23'!AG72</f>
        <v>0</v>
      </c>
      <c r="H6" s="228">
        <f>'Jun23'!P1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45138</v>
      </c>
      <c r="C7" s="229">
        <f>Admin!$B$137</f>
        <v>45157</v>
      </c>
      <c r="D7" s="227">
        <f>'Jul23'!T1+'Jul23'!O1</f>
        <v>0</v>
      </c>
      <c r="E7" s="228">
        <f>'Jul23'!N1</f>
        <v>0</v>
      </c>
      <c r="F7" s="228">
        <f>'Jul23'!AD60+'Jul23'!AE60+'Jul23'!AF60+'Jul23'!AG60</f>
        <v>0</v>
      </c>
      <c r="G7" s="228">
        <f>'Jul23'!AE62+'Jul23'!AF62+'Jul23'!AG62</f>
        <v>0</v>
      </c>
      <c r="H7" s="228">
        <f>'Jul23'!P1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45169</v>
      </c>
      <c r="C8" s="229">
        <f>Admin!$B$168</f>
        <v>45188</v>
      </c>
      <c r="D8" s="227">
        <f>'Aug23'!T1+'Aug23'!O1</f>
        <v>0</v>
      </c>
      <c r="E8" s="228">
        <f>'Aug23'!N1</f>
        <v>0</v>
      </c>
      <c r="F8" s="228">
        <f>'Aug23'!AD60+'Aug23'!AE60+'Aug23'!AF60+'Aug23'!AG60</f>
        <v>0</v>
      </c>
      <c r="G8" s="228">
        <f>'Aug23'!AE62+'Aug23'!AF62+'Aug23'!AG62</f>
        <v>0</v>
      </c>
      <c r="H8" s="228">
        <f>'Aug23'!P1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45199</v>
      </c>
      <c r="C9" s="229">
        <f>Admin!$B$198</f>
        <v>45218</v>
      </c>
      <c r="D9" s="227">
        <f>'Sep23'!T1+'Sep23'!O1</f>
        <v>0</v>
      </c>
      <c r="E9" s="228">
        <f>'Sep23'!N1</f>
        <v>0</v>
      </c>
      <c r="F9" s="228">
        <f>'Sep23'!AD70+'Sep23'!AE70+'Sep23'!AF70+'Sep23'!AG70</f>
        <v>0</v>
      </c>
      <c r="G9" s="228">
        <f>'Sep23'!AE72+'Sep23'!AF72+'Sep23'!AG72</f>
        <v>0</v>
      </c>
      <c r="H9" s="228">
        <f>'Sep23'!P1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45230</v>
      </c>
      <c r="C10" s="229">
        <f>Admin!$B$229</f>
        <v>45249</v>
      </c>
      <c r="D10" s="227">
        <f>'Oct23'!T1+'Oct23'!O1</f>
        <v>0</v>
      </c>
      <c r="E10" s="228">
        <f>'Oct23'!N1</f>
        <v>0</v>
      </c>
      <c r="F10" s="228">
        <f>'Oct23'!AD60+'Oct23'!AE60+'Oct23'!AF60+'Oct23'!AG60</f>
        <v>0</v>
      </c>
      <c r="G10" s="228">
        <f>'Oct23'!AE62+'Oct23'!AF62+'Oct23'!AG62</f>
        <v>0</v>
      </c>
      <c r="H10" s="228">
        <f>'Oct23'!P1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45260</v>
      </c>
      <c r="C11" s="229">
        <f>Admin!$B$259</f>
        <v>45279</v>
      </c>
      <c r="D11" s="227">
        <f>'Nov23'!T1+'Nov23'!O1</f>
        <v>0</v>
      </c>
      <c r="E11" s="228">
        <f>'Nov23'!N1</f>
        <v>0</v>
      </c>
      <c r="F11" s="228">
        <f>'Nov23'!AD60+'Nov23'!AE60+'Nov23'!AF60+'Nov23'!AG60</f>
        <v>0</v>
      </c>
      <c r="G11" s="228">
        <f>'Nov23'!AE62+'Nov23'!AF62+'Nov23'!AG62</f>
        <v>0</v>
      </c>
      <c r="H11" s="228">
        <f>'Nov23'!P1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45291</v>
      </c>
      <c r="C12" s="229">
        <f>Admin!$B$290</f>
        <v>45310</v>
      </c>
      <c r="D12" s="227">
        <f>'Dec23'!T1+'Dec23'!O1</f>
        <v>0</v>
      </c>
      <c r="E12" s="228">
        <f>'Dec23'!N1</f>
        <v>0</v>
      </c>
      <c r="F12" s="228">
        <f>'Dec23'!AD70+'Dec23'!AE70+'Dec23'!AF70+'Dec23'!AG70</f>
        <v>0</v>
      </c>
      <c r="G12" s="228">
        <f>'Dec23'!AE72+'Dec23'!AF72+'Dec23'!AG72</f>
        <v>0</v>
      </c>
      <c r="H12" s="228">
        <f>'Dec23'!P1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45322</v>
      </c>
      <c r="C13" s="229">
        <f>Admin!$B$321</f>
        <v>45341</v>
      </c>
      <c r="D13" s="227">
        <f>'Jan24'!T1+'Jan24'!O1</f>
        <v>0</v>
      </c>
      <c r="E13" s="228">
        <f>'Jan24'!N1</f>
        <v>0</v>
      </c>
      <c r="F13" s="228">
        <f>'Jan24'!AD60+'Jan24'!AE60+'Jan24'!AF60+'Jan24'!AG60</f>
        <v>0</v>
      </c>
      <c r="G13" s="228">
        <f>'Jan24'!AE62+'Jan24'!AF62+'Jan24'!AG62</f>
        <v>0</v>
      </c>
      <c r="H13" s="228">
        <f>'Jan24'!P1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45350</v>
      </c>
      <c r="C14" s="229">
        <f>Admin!$B$350</f>
        <v>45370</v>
      </c>
      <c r="D14" s="227">
        <f>'Feb24'!T1+'Feb24'!O1</f>
        <v>0</v>
      </c>
      <c r="E14" s="228">
        <f>'Feb24'!N1</f>
        <v>0</v>
      </c>
      <c r="F14" s="228">
        <f>'Feb24'!AD60+'Feb24'!AE60+'Feb24'!AF60+'Feb24'!AG60</f>
        <v>0</v>
      </c>
      <c r="G14" s="228">
        <f>'Feb24'!AE62+'Feb24'!AF62+'Feb24'!AG62</f>
        <v>0</v>
      </c>
      <c r="H14" s="228">
        <f>'Feb24'!P1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45381</v>
      </c>
      <c r="C15" s="229">
        <f>Admin!$B$381</f>
        <v>45401</v>
      </c>
      <c r="D15" s="227">
        <f>'Mar24'!T1+'Mar24'!O1</f>
        <v>0</v>
      </c>
      <c r="E15" s="228">
        <f>'Mar24'!N1</f>
        <v>0</v>
      </c>
      <c r="F15" s="228">
        <f>'Mar24'!AD80+'Mar24'!AE80+'Mar24'!AF80+'Mar24'!AG80</f>
        <v>0</v>
      </c>
      <c r="G15" s="228">
        <f>'Mar24'!AE82+'Mar24'!AF82+'Mar24'!AG82</f>
        <v>0</v>
      </c>
      <c r="H15" s="228">
        <f>'Mar24'!P1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/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1" t="s">
        <v>77</v>
      </c>
      <c r="H1" s="492"/>
      <c r="I1" s="493">
        <f>B366</f>
        <v>45386</v>
      </c>
      <c r="J1" s="494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Apr23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Apr23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5" t="s">
        <v>88</v>
      </c>
      <c r="I3" s="496"/>
      <c r="J3" s="496"/>
      <c r="K3" s="496"/>
      <c r="L3" s="496"/>
      <c r="M3" s="497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Apr23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Apr23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Apr23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Apr23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Apr23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Apr23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Apr23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Apr23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Apr23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Apr23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Apr23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Apr23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Apr23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Apr23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Apr23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Apr23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Apr23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Apr23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Apr23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Apr23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Apr23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Apr23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Apr23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Apr23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May23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May23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May23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May23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May23</v>
      </c>
      <c r="B32" s="308">
        <f t="shared" si="1"/>
        <v>45052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May23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May23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May23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May23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May23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May23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May23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May23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May23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May23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May23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May23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May23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May23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May23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May23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May23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May23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May23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May23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May23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May23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May23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Jun23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Jun23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Jun23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Jun23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Jun23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Jun23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Jun23</v>
      </c>
      <c r="B62" s="308">
        <f t="shared" si="1"/>
        <v>45082</v>
      </c>
      <c r="C62" s="317">
        <v>9</v>
      </c>
      <c r="D62" s="317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Jun23</v>
      </c>
      <c r="B63" s="308">
        <f t="shared" si="1"/>
        <v>45083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Jun23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Jun23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Jun23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Jun23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Jun23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Jun23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Jun23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Jun23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Jun23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Jun23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Jun23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Jun23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Jun23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Jun23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Jun23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Jun23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Jun23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Jun23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Jun23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Jun23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Jun23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Jun23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Jun23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Jun23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Jun23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Jun23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Jun23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Jul23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Jul23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Jul23</v>
      </c>
      <c r="B93" s="308">
        <f t="shared" si="3"/>
        <v>45113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Jul23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Jul23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Jul23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Jul23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Jul23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Jul23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Jul23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Jul23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Jul23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Jul23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Jul23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Jul23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Jul23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Jul23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Jul23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Jul23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Jul23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Jul23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Jul23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Jul23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Jul23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Jul23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Jul23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Jul23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Jul23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Aug23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Aug23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Aug23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Aug23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Aug23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Aug23</v>
      </c>
      <c r="B124" s="308">
        <f t="shared" si="3"/>
        <v>45144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Aug23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Aug23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Aug23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Aug23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Aug23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Aug23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Aug23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Aug23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Aug23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Aug23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Aug23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Aug23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Aug23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Aug23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Aug23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Aug23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Aug23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Aug23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Aug23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Aug23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Aug23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Aug23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Sep23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Sep23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Sep23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Sep23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Sep23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Sep23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Sep23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Sep23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Sep23</v>
      </c>
      <c r="B155" s="322">
        <f t="shared" si="5"/>
        <v>45175</v>
      </c>
      <c r="C155" s="317">
        <v>23</v>
      </c>
      <c r="D155" s="317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Sep23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Sep23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Sep23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Sep23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Sep23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Sep23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Sep23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Sep23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Sep23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Sep23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Sep23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Sep23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Sep23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Sep23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Sep23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Sep23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Sep23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Sep23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Sep23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Sep23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Sep23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Sep23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Sep23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Sep23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Sep23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Sep23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Oct23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Oct23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Oct23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Oct23</v>
      </c>
      <c r="B185" s="322">
        <f t="shared" si="5"/>
        <v>45205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Oct23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Oct23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Oct23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Oct23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Oct23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Oct23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Oct23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Oct23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Oct23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Oct23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Oct23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Oct23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Oct23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Oct23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Oct23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Oct23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Oct23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Oct23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Oct23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Oct23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Oct23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Oct23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Oct23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Oct23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Nov23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Nov23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Nov23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Nov23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Nov23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Nov23</v>
      </c>
      <c r="B215" s="308">
        <f t="shared" si="7"/>
        <v>45235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Nov23</v>
      </c>
      <c r="B216" s="322">
        <f t="shared" si="7"/>
        <v>45236</v>
      </c>
      <c r="C216" s="317">
        <v>31</v>
      </c>
      <c r="D216" s="317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Nov23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Nov23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Nov23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Nov23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Nov23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Nov23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Nov23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Nov23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Nov23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Nov23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Nov23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Nov23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Nov23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Nov23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Nov23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Nov23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Nov23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Nov23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Nov23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Nov23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Nov23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Dec23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Dec23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Dec23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Dec23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Dec23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Dec23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Dec23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Dec23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Dec23</v>
      </c>
      <c r="B246" s="322">
        <f t="shared" si="7"/>
        <v>45266</v>
      </c>
      <c r="C246" s="317">
        <v>36</v>
      </c>
      <c r="D246" s="317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Dec23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Dec23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Dec23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Dec23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Dec23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Dec23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Dec23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Dec23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Dec23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Dec23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Dec23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Dec23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Dec23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Dec23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Dec23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Dec23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Dec23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Dec23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Dec23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Dec23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Dec23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Dec23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Dec23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Dec23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Dec23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Dec23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Jan24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Jan24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Jan24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Jan24</v>
      </c>
      <c r="B276" s="322">
        <f t="shared" si="9"/>
        <v>45296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Jan24</v>
      </c>
      <c r="B277" s="322">
        <f t="shared" si="9"/>
        <v>45297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Jan24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Jan24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Jan24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Jan24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Jan24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Jan24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Jan24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Jan24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Jan24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Jan24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Jan24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Jan24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Jan24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Jan24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Jan24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Jan24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Jan24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Jan24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Jan24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Jan24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Jan24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Jan24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Jan24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Feb24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Feb24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Feb24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Feb24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Feb24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Feb24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Feb24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Feb24</v>
      </c>
      <c r="B308" s="322">
        <f t="shared" si="9"/>
        <v>45328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Feb24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Feb24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Feb24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Feb24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Feb24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Feb24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Feb24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Feb24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Feb24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Feb24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Feb24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Feb24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Feb24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Feb24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Feb24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Feb24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Feb24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Feb24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Feb24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Feb24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Mar24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Mar24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Mar24</v>
      </c>
      <c r="B331" s="308">
        <f t="shared" si="11"/>
        <v>45351</v>
      </c>
      <c r="C331" s="317">
        <v>48</v>
      </c>
      <c r="D331" s="309">
        <v>12</v>
      </c>
      <c r="E331" s="318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Mar24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Mar24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Mar24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Mar24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Mar24</v>
      </c>
      <c r="B336" s="322">
        <f t="shared" si="11"/>
        <v>45356</v>
      </c>
      <c r="C336" s="317">
        <v>49</v>
      </c>
      <c r="D336" s="317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Mar24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Mar24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Mar24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Mar24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Mar24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Mar24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Mar24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Mar24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Mar24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Mar24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Mar24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Mar24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Mar24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Mar24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Mar24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Mar24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Mar24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Mar24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Mar24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Mar24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Mar24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Mar24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Mar24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Mar24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Mar24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Mar24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Mar24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Mar24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Mar24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Mar24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Mar24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Mar24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Mar24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Mar24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Mar24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Mar24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Mar24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Mar24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Mar24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Mar24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Mar24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Mar24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Mar24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Mar24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Mar24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Payslips</vt:lpstr>
      <vt:lpstr>Payment</vt:lpstr>
      <vt:lpstr>Admin</vt:lpstr>
      <vt:lpstr>'Apr23'!Print_Titles</vt:lpstr>
      <vt:lpstr>'Aug23'!Print_Titles</vt:lpstr>
      <vt:lpstr>'Dec23'!Print_Titles</vt:lpstr>
      <vt:lpstr>'Feb24'!Print_Titles</vt:lpstr>
      <vt:lpstr>'Jan24'!Print_Titles</vt:lpstr>
      <vt:lpstr>'Jul23'!Print_Titles</vt:lpstr>
      <vt:lpstr>'Jun23'!Print_Titles</vt:lpstr>
      <vt:lpstr>'Mar24'!Print_Titles</vt:lpstr>
      <vt:lpstr>'May23'!Print_Titles</vt:lpstr>
      <vt:lpstr>'Nov23'!Print_Titles</vt:lpstr>
      <vt:lpstr>'Oct23'!Print_Titles</vt:lpstr>
      <vt:lpstr>'Sep23'!Print_Titles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2024-07-16T16:00:37Z</dcterms:modified>
</cp:coreProperties>
</file>