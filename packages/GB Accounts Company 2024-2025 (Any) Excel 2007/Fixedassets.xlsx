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4-25/GB Accounts Company 2024-2025 (Any) Excel 2007/"/>
    </mc:Choice>
  </mc:AlternateContent>
  <xr:revisionPtr revIDLastSave="0" documentId="13_ncr:1_{7B39AF71-5574-C246-8F9D-B12326CCF553}"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s>
  <definedNames>
    <definedName name="_xlnm.Print_Titles" localSheetId="0">Schedule!$A:$G,Schedule!$1:$4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K4" i="11"/>
  <c r="S4" i="11"/>
  <c r="D6" i="11" l="1"/>
  <c r="G4" i="11" l="1"/>
  <c r="D57" i="11"/>
  <c r="D59" i="11" s="1"/>
  <c r="O4" i="11"/>
  <c r="F4" i="1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<sst xmlns="http://schemas.openxmlformats.org/spreadsheetml/2006/main" count="95" uniqueCount="67">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</sst>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4-25/GB%20Accounts%20Company%202024-2025%20(Any)%20Excel%202007/Financialaccounts.xlsx" TargetMode="External"/><Relationship Id="rId1" Type="http://schemas.openxmlformats.org/officeDocument/2006/relationships/externalLinkPath" Target="Financialaccou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45413</v>
          </cell>
        </row>
        <row r="7">
          <cell r="G7">
            <v>100</v>
          </cell>
          <cell r="N7">
            <v>46142</v>
          </cell>
        </row>
        <row r="11">
          <cell r="E11">
            <v>12000</v>
          </cell>
          <cell r="G11">
            <v>3000</v>
          </cell>
          <cell r="N11">
            <v>45777</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45413</v>
      </c>
      <c r="G4" s="111">
        <f>D6</f>
        <v>45413</v>
      </c>
      <c r="H4" s="124"/>
      <c r="I4" s="137"/>
      <c r="J4" s="111">
        <f>[1]Admin!$N$7</f>
        <v>46142</v>
      </c>
      <c r="K4" s="111">
        <f>J4</f>
        <v>46142</v>
      </c>
      <c r="L4" s="151"/>
      <c r="M4" s="123"/>
      <c r="N4" s="151"/>
      <c r="O4" s="110">
        <f>D6</f>
        <v>45413</v>
      </c>
      <c r="P4" s="119">
        <v>100</v>
      </c>
      <c r="Q4" s="153"/>
      <c r="R4" s="118">
        <v>20</v>
      </c>
      <c r="S4" s="110">
        <f>J4</f>
        <v>46142</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45413</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IF(E44&gt;0,E44-J44," ")</f>
        <v xml:space="preserve"> </v>
      </c>
      <c r="L44" s="7"/>
      <c r="M44" s="28">
        <v>0</v>
      </c>
      <c r="N44" s="7"/>
      <c r="O44" s="44"/>
      <c r="P44" s="87"/>
      <c r="Q44" s="11"/>
      <c r="R44" s="11" t="str">
        <f>IF(O44&gt;0,MIN(O44*R$4/100*(1-M44),3000*(1-M44)),"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IF(O45&gt;0,MIN(O45*R$4/100*(1-M45),3000*(1-M45)),"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IF(O50&gt;0,IF(O50&gt;[1]Admin!$E$11,[1]Admin!$G$11*(1-M50),O50*R$4/100)*(1-M50),"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IF(O51&gt;0,IF(O51&gt;[1]Admin!$E$11,[1]Admin!$G$11*(1-M51),O51*R$4/100)*(1-M51),"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IF(O52&gt;0,IF(O52&gt;[1]Admin!$E$11,[1]Admin!$G$11*(1-M52),O52*R$4/100)*(1-M52),"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IF(O53&gt;0,IF(O53&gt;[1]Admin!$E$11,[1]Admin!$G$11*(1-M53),O53*R$4/100)*(1-M53),"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IF(O54&gt;0,IF(O54&gt;[1]Admin!$E$11,[1]Admin!$G$11*(1-M54),O54*R$4/100)*(1-M54),"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45413</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45413</v>
      </c>
      <c r="E59" s="113" t="s">
        <v>59</v>
      </c>
      <c r="F59" s="117">
        <f>J4</f>
        <v>46142</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IF(E97&gt;0,E97-J97," ")</f>
        <v xml:space="preserve"> </v>
      </c>
      <c r="L97" s="7"/>
      <c r="M97" s="28">
        <v>0</v>
      </c>
      <c r="N97" s="7"/>
      <c r="O97" s="11"/>
      <c r="P97" s="87"/>
      <c r="Q97" s="11"/>
      <c r="R97" s="11" t="str">
        <f>IF(E97&gt;0,IF(E97&gt;[1]Admin!$E$11,[1]Admin!$G$11*(1-M97),E97*R$4/100)*(1-M97),"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IF(E98&gt;0,IF(E98&gt;[1]Admin!$E$11,[1]Admin!$G$11*(1-M98),E98*R$4/100)*(1-M98),"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IF(E99&gt;0,E99-J99," ")</f>
        <v xml:space="preserve"> </v>
      </c>
      <c r="L99" s="7"/>
      <c r="M99" s="28">
        <v>0</v>
      </c>
      <c r="N99" s="7"/>
      <c r="O99" s="11"/>
      <c r="P99" s="87"/>
      <c r="Q99" s="11"/>
      <c r="R99" s="11" t="str">
        <f>IF(E99&gt;0,IF(E99&gt;[1]Admin!$E$11,[1]Admin!$G$11*(1-M99),E99*R$4/100)*(1-M99),"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IF(E100&gt;0,E100-J100," ")</f>
        <v xml:space="preserve"> </v>
      </c>
      <c r="L100" s="7"/>
      <c r="M100" s="28">
        <v>0</v>
      </c>
      <c r="N100" s="7"/>
      <c r="O100" s="11"/>
      <c r="P100" s="87"/>
      <c r="Q100" s="11"/>
      <c r="R100" s="11" t="str">
        <f>IF(E100&gt;0,IF(E100&gt;[1]Admin!$E$11,[1]Admin!$G$11*(1-M100),E100*R$4/100)*(1-M100),"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IF(E101&gt;0,E101-J101," ")</f>
        <v xml:space="preserve"> </v>
      </c>
      <c r="L101" s="7"/>
      <c r="M101" s="28">
        <v>0</v>
      </c>
      <c r="N101" s="7"/>
      <c r="O101" s="11"/>
      <c r="P101" s="87"/>
      <c r="Q101" s="11"/>
      <c r="R101" s="11" t="str">
        <f>IF(E101&gt;0,IF(E101&gt;[1]Admin!$E$11,[1]Admin!$G$11*(1-M101),E101*R$4/100)*(1-M101),"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46142</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t="e">
        <f>#REF!</f>
        <v>#REF!</v>
      </c>
      <c r="F13" s="49"/>
      <c r="G13" s="172" t="s">
        <v>27</v>
      </c>
      <c r="H13" s="172"/>
      <c r="I13" s="172"/>
      <c r="J13" s="173"/>
      <c r="K13" s="53" t="e">
        <f>#REF!</f>
        <v>#REF!</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e">
        <f>IF(E15&gt;0,"Purchases exceed Assets listed on Schedule",IF(E15&lt;0,"Assets listed on Schedule exceed Purchase values","Purchases reconcile with Fixed asset Schedule"))</f>
        <v>#REF!</v>
      </c>
      <c r="C15" s="170"/>
      <c r="D15" s="171"/>
      <c r="E15" s="104" t="e">
        <f>E13-E11</f>
        <v>#REF!</v>
      </c>
      <c r="F15" s="49"/>
      <c r="G15" s="169" t="e">
        <f>IF(K15&gt;0,"Sales exceed Assets listed on Schedule",IF(K15&lt;0,"Assets listed on Schedule exceed Sales values","Sales reconcile with Fixed asset Schedule"))</f>
        <v>#REF!</v>
      </c>
      <c r="H15" s="170"/>
      <c r="I15" s="170"/>
      <c r="J15" s="171"/>
      <c r="K15" s="104" t="e">
        <f>K13-K11</f>
        <v>#REF!</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IF(H10&gt;0,#REF!/H10,"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IF(H12&gt;0,#REF!/H12,"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IF(H14&gt;0,#REF!/H14,"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IF(H16&gt;0,#REF!/H16,"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IF(H18&gt;0,#REF!/H18,"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IF(H20&gt;0,#REF!/H20,"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IF(H22&gt;0,#REF!/H22,"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IF(H24&gt;0,#REF!/H24,"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IF(H26&gt;0,#REF!/H26,"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IF(H36&gt;0,#REF!/H36,"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IF(H38&gt;0,#REF!/H38,"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IF(H40&gt;0,#REF!/H40,"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IF(H42&gt;0,#REF!/H42,"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IF(H44&gt;0,#REF!/H44,"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IF(H46&gt;0,#REF!/H46,"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IF(H48&gt;0,#REF!/H48,"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IF(H50&gt;0,#REF!/H50,"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IF(H52&gt;0,#REF!/H52,"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DIY Accounting Customer Service</cp:lastModifiedBy>
  <cp:lastPrinted>2007-03-03T22:52:10Z</cp:lastPrinted>
  <dcterms:created xsi:type="dcterms:W3CDTF">2002-12-30T15:31:19Z</dcterms:created>
  <dcterms:modified xsi:type="dcterms:W3CDTF">2024-04-03T00:32:32Z</dcterms:modified>
</cp:coreProperties>
</file>