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5-2026 (Any) Excel 2007/"/>
    </mc:Choice>
  </mc:AlternateContent>
  <xr:revisionPtr revIDLastSave="0" documentId="13_ncr:1_{5F83C9E4-926E-284B-8965-923A10BFFB2C}" xr6:coauthVersionLast="47" xr6:coauthVersionMax="47" xr10:uidLastSave="{00000000-0000-0000-0000-000000000000}"/>
  <bookViews>
    <workbookView xWindow="0" yWindow="500" windowWidth="32420" windowHeight="1688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ales Q1-2" sheetId="20" r:id="rId7"/>
    <sheet name="Sales Q1-1" sheetId="26" r:id="rId8"/>
    <sheet name="Sales Q4+1" sheetId="25" r:id="rId9"/>
    <sheet name="Sales Q4+2" sheetId="24" r:id="rId10"/>
    <sheet name="Purc Q1-2" sheetId="23" r:id="rId11"/>
    <sheet name="Purc Q1-1" sheetId="22" r:id="rId12"/>
    <sheet name="Purc Q4+1" sheetId="21" r:id="rId13"/>
    <sheet name="Purc Q4+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D10" i="19" l="1"/>
  <c r="D14" i="19"/>
  <c r="D13" i="19"/>
  <c r="D6" i="19"/>
  <c r="D7" i="19"/>
  <c r="E9" i="19" s="1"/>
  <c r="D12" i="19"/>
  <c r="E14" i="19" s="1"/>
  <c r="D11" i="19"/>
  <c r="D16" i="19"/>
  <c r="D15" i="19"/>
  <c r="D17" i="19"/>
  <c r="E19" i="19" s="1"/>
  <c r="D8" i="19"/>
  <c r="D9" i="19"/>
  <c r="F6" i="19" l="1"/>
  <c r="E18" i="19"/>
  <c r="E13" i="19"/>
  <c r="E16" i="19"/>
  <c r="E7" i="19"/>
  <c r="E8" i="19"/>
  <c r="E6" i="19"/>
  <c r="E12" i="19"/>
  <c r="E15" i="19"/>
  <c r="E11" i="19"/>
  <c r="E10" i="19"/>
  <c r="G2" i="20"/>
  <c r="G2" i="26"/>
  <c r="G6" i="19"/>
  <c r="E17" i="19"/>
  <c r="F8" i="19" l="1"/>
  <c r="F7" i="19"/>
  <c r="G8" i="19" s="1"/>
  <c r="F9" i="19" l="1"/>
  <c r="G9" i="19" s="1"/>
  <c r="G7" i="19"/>
  <c r="F10" i="19" l="1"/>
  <c r="G10" i="19" s="1"/>
  <c r="F11" i="19" l="1"/>
  <c r="G11" i="19" s="1"/>
  <c r="F12" i="19" l="1"/>
  <c r="G12" i="19" s="1"/>
  <c r="F13" i="19" l="1"/>
  <c r="G13" i="19" s="1"/>
  <c r="F14" i="19" l="1"/>
  <c r="G14" i="19" s="1"/>
  <c r="F15" i="19" l="1"/>
  <c r="G15" i="19" s="1"/>
  <c r="G2" i="24"/>
  <c r="G2" i="25"/>
  <c r="F16" i="19" l="1"/>
  <c r="G16" i="19" s="1"/>
  <c r="F17" i="19" l="1"/>
  <c r="G19" i="19" s="1"/>
  <c r="G17" i="19" l="1"/>
  <c r="G18" i="19"/>
  <c r="G2" i="23" l="1"/>
  <c r="G2" i="22"/>
  <c r="G2" i="27"/>
  <c r="G2" i="21"/>
  <c r="H15" i="19" l="1"/>
  <c r="H9" i="19"/>
  <c r="H6" i="19"/>
  <c r="H14" i="19"/>
  <c r="H12" i="19"/>
  <c r="H11" i="19"/>
  <c r="H17" i="19"/>
  <c r="I19" i="19" s="1"/>
  <c r="H7" i="19"/>
  <c r="H8" i="19"/>
  <c r="H13" i="19"/>
  <c r="I15" i="19" s="1"/>
  <c r="H16" i="19"/>
  <c r="H10" i="19"/>
  <c r="I16" i="19" l="1"/>
  <c r="J8" i="19"/>
  <c r="J7" i="19"/>
  <c r="I14" i="19"/>
  <c r="J16" i="19"/>
  <c r="J17" i="19"/>
  <c r="K19" i="19" s="1"/>
  <c r="J10" i="19"/>
  <c r="I9" i="19"/>
  <c r="I17" i="19"/>
  <c r="J13" i="19"/>
  <c r="J14" i="19"/>
  <c r="K16" i="19" s="1"/>
  <c r="J11" i="19"/>
  <c r="J9" i="19"/>
  <c r="K10" i="19" s="1"/>
  <c r="J6" i="19"/>
  <c r="K6" i="19" s="1"/>
  <c r="J15" i="19"/>
  <c r="J12" i="19"/>
  <c r="K14" i="19" s="1"/>
  <c r="I8" i="19"/>
  <c r="I6" i="19"/>
  <c r="I7" i="19"/>
  <c r="I11" i="19"/>
  <c r="I12" i="19"/>
  <c r="I18" i="19"/>
  <c r="I13" i="19"/>
  <c r="I10" i="19"/>
  <c r="K7" i="19" l="1"/>
  <c r="K11" i="19"/>
  <c r="K8" i="19"/>
  <c r="K15" i="19"/>
  <c r="K17" i="19"/>
  <c r="K12" i="19"/>
  <c r="K18" i="19"/>
  <c r="K13" i="19"/>
  <c r="K9" i="19"/>
  <c r="B17" i="19" l="1"/>
  <c r="K13" i="5" l="1"/>
  <c r="K13" i="18"/>
  <c r="K13" i="2"/>
  <c r="K13" i="8"/>
  <c r="C16" i="19"/>
  <c r="K13" i="11"/>
  <c r="B18" i="19"/>
  <c r="K14" i="2" l="1"/>
  <c r="K14" i="11"/>
  <c r="C17" i="19"/>
  <c r="K14" i="18"/>
  <c r="K14" i="5"/>
  <c r="K14" i="8"/>
  <c r="B19" i="19"/>
  <c r="C19" i="19"/>
  <c r="K15" i="18" l="1"/>
  <c r="C18" i="19"/>
  <c r="K15" i="8"/>
  <c r="K15" i="5"/>
  <c r="K15" i="11"/>
  <c r="K15" i="2"/>
  <c r="B16" i="19" l="1"/>
  <c r="K12" i="8" l="1"/>
  <c r="K12" i="5"/>
  <c r="K12" i="18"/>
  <c r="C15" i="19"/>
  <c r="K12" i="11"/>
  <c r="K12" i="2"/>
  <c r="B15" i="19"/>
  <c r="C14" i="19" l="1"/>
  <c r="K11" i="18"/>
  <c r="K11" i="11"/>
  <c r="K11" i="2"/>
  <c r="K11" i="5"/>
  <c r="K11" i="8"/>
  <c r="B14" i="19"/>
  <c r="K10" i="18" l="1"/>
  <c r="C13" i="19"/>
  <c r="K10" i="5"/>
  <c r="K10" i="8"/>
  <c r="K10" i="2"/>
  <c r="K10" i="11"/>
  <c r="B13" i="19"/>
  <c r="K9" i="18" l="1"/>
  <c r="C12" i="19"/>
  <c r="K9" i="2"/>
  <c r="K9" i="5"/>
  <c r="K9" i="8"/>
  <c r="K9" i="11"/>
  <c r="B12" i="19"/>
  <c r="K8" i="2" l="1"/>
  <c r="C11" i="19"/>
  <c r="K8" i="5"/>
  <c r="K8" i="8"/>
  <c r="K8" i="18"/>
  <c r="K8" i="11"/>
  <c r="B11" i="19"/>
  <c r="K7" i="8" l="1"/>
  <c r="K7" i="2"/>
  <c r="C10" i="19"/>
  <c r="K7" i="18"/>
  <c r="K7" i="5"/>
  <c r="K7" i="11"/>
  <c r="B10" i="19"/>
  <c r="K6" i="2" l="1"/>
  <c r="K6" i="5"/>
  <c r="K6" i="8"/>
  <c r="K6" i="18"/>
  <c r="K6" i="11"/>
  <c r="C9" i="19"/>
  <c r="B9" i="19"/>
  <c r="K5" i="11" l="1"/>
  <c r="C8" i="19"/>
  <c r="K5" i="5"/>
  <c r="K5" i="8"/>
  <c r="K5" i="2"/>
  <c r="K5" i="18"/>
  <c r="B8" i="19"/>
  <c r="K4" i="8" l="1"/>
  <c r="K4" i="18"/>
  <c r="K4" i="11"/>
  <c r="C7" i="19"/>
  <c r="K4" i="5"/>
  <c r="K4" i="2"/>
  <c r="B7" i="19"/>
  <c r="K3" i="18" l="1"/>
  <c r="K3" i="2"/>
  <c r="C6" i="19"/>
  <c r="K3" i="8"/>
  <c r="K3" i="11"/>
  <c r="K3" i="5"/>
  <c r="B6" i="19"/>
  <c r="K2" i="18" l="1"/>
  <c r="K2" i="5"/>
  <c r="K2" i="2"/>
  <c r="C5" i="19"/>
  <c r="K2" i="11"/>
  <c r="K2" i="8"/>
  <c r="B5" i="19"/>
  <c r="C4" i="19" l="1"/>
  <c r="B19" i="18"/>
  <c r="G7" i="8"/>
  <c r="G9" i="18"/>
  <c r="G13" i="18" s="1"/>
  <c r="G7" i="11"/>
  <c r="G23" i="18"/>
  <c r="G15" i="2"/>
  <c r="G23" i="11"/>
  <c r="G21" i="2"/>
  <c r="B19" i="11"/>
  <c r="G23" i="2"/>
  <c r="E19" i="18"/>
  <c r="B21" i="18"/>
  <c r="B21" i="8"/>
  <c r="E19" i="5"/>
  <c r="G7" i="18"/>
  <c r="G21" i="8"/>
  <c r="E19" i="11"/>
  <c r="G21" i="18"/>
  <c r="G23" i="5"/>
  <c r="B19" i="8"/>
  <c r="G7" i="2"/>
  <c r="G21" i="11"/>
  <c r="G7" i="5"/>
  <c r="B19" i="5"/>
  <c r="G9" i="11"/>
  <c r="G13" i="11" s="1"/>
  <c r="E19" i="2"/>
  <c r="G9" i="8"/>
  <c r="G13" i="8" s="1"/>
  <c r="G15" i="5"/>
  <c r="G15" i="18"/>
  <c r="G17" i="18" s="1"/>
  <c r="B17" i="18" s="1"/>
  <c r="G15" i="11"/>
  <c r="G17" i="11" s="1"/>
  <c r="B17" i="11" s="1"/>
  <c r="B4" i="19"/>
  <c r="E19" i="8" s="1"/>
  <c r="B19" i="2" l="1"/>
  <c r="G9" i="2"/>
  <c r="G13" i="2" s="1"/>
  <c r="G17" i="2" s="1"/>
  <c r="B17" i="2" s="1"/>
  <c r="G15" i="8"/>
  <c r="G17" i="8" s="1"/>
  <c r="B17" i="8" s="1"/>
  <c r="G9" i="5"/>
  <c r="G13" i="5" s="1"/>
  <c r="G17" i="5" s="1"/>
  <c r="B17" i="5" s="1"/>
  <c r="B21" i="2"/>
  <c r="G21" i="5"/>
  <c r="G23" i="8"/>
  <c r="B21" i="11"/>
  <c r="B21" i="5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<sst xmlns="http://schemas.openxmlformats.org/spreadsheetml/2006/main" count="182" uniqueCount="45">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</sst>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5-2026%20(Any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5-2026%20(Any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5-2026%20(Any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45747</v>
          </cell>
        </row>
        <row r="8">
          <cell r="B8">
            <v>45777</v>
          </cell>
        </row>
        <row r="10">
          <cell r="B10">
            <v>45808</v>
          </cell>
        </row>
        <row r="12">
          <cell r="B12">
            <v>45838</v>
          </cell>
        </row>
        <row r="14">
          <cell r="B14">
            <v>45869</v>
          </cell>
        </row>
        <row r="16">
          <cell r="B16">
            <v>45900</v>
          </cell>
        </row>
        <row r="18">
          <cell r="B18">
            <v>45930</v>
          </cell>
        </row>
        <row r="20">
          <cell r="B20">
            <v>45961</v>
          </cell>
        </row>
        <row r="22">
          <cell r="B22">
            <v>45991</v>
          </cell>
        </row>
        <row r="24">
          <cell r="B24">
            <v>46022</v>
          </cell>
        </row>
        <row r="26">
          <cell r="B26">
            <v>46053</v>
          </cell>
        </row>
        <row r="28">
          <cell r="B28">
            <v>46081</v>
          </cell>
        </row>
        <row r="30">
          <cell r="B30">
            <v>46112</v>
          </cell>
        </row>
        <row r="32">
          <cell r="B32">
            <v>46142</v>
          </cell>
        </row>
        <row r="34">
          <cell r="B34">
            <v>46173</v>
          </cell>
        </row>
        <row r="36">
          <cell r="B36">
            <v>46203</v>
          </cell>
        </row>
        <row r="38">
          <cell r="B38">
            <v>46234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Month 01"/>
      <sheetName val="Month 02"/>
      <sheetName val="Month 03"/>
      <sheetName val="Month 04"/>
      <sheetName val="Month 05"/>
      <sheetName val="Month 06"/>
      <sheetName val="Month 07"/>
      <sheetName val="Month 08"/>
      <sheetName val="Month 09"/>
      <sheetName val="Month 10"/>
      <sheetName val="Month 11"/>
      <sheetName val="Month 12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Month 01"/>
      <sheetName val="Month 02"/>
      <sheetName val="Month 03"/>
      <sheetName val="Month 04"/>
      <sheetName val="Month 05"/>
      <sheetName val="Month 06"/>
      <sheetName val="Month 07"/>
      <sheetName val="Month 08"/>
      <sheetName val="Month 09"/>
      <sheetName val="Month 10"/>
      <sheetName val="Month 11"/>
      <sheetName val="Month 12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45808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45838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45869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45838</v>
      </c>
      <c r="H5" s="10"/>
      <c r="I5" s="13"/>
      <c r="K5" s="69">
        <f>Vatinterface!B9</f>
        <v>45900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45930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45961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45991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46022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46053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46081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46112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46142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46173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46203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45808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45838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45869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45930</v>
      </c>
      <c r="H5" s="10"/>
      <c r="I5" s="13"/>
      <c r="K5" s="69">
        <f>Vatinterface!B9</f>
        <v>45900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45930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45961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45991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46022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46053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46081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46112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46142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46173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46203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45808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45838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45869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46022</v>
      </c>
      <c r="H5" s="10"/>
      <c r="I5" s="13"/>
      <c r="K5" s="69">
        <f>Vatinterface!B9</f>
        <v>45900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45930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45961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45991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46022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46053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46081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46112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46142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46173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46203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45808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45838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45869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46112</v>
      </c>
      <c r="H5" s="10"/>
      <c r="I5" s="13"/>
      <c r="K5" s="69">
        <f>Vatinterface!B9</f>
        <v>45900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45930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45961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45991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46022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46053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46081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46112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46142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46173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46203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45808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45838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45869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46142</v>
      </c>
      <c r="H5" s="10"/>
      <c r="I5" s="13"/>
      <c r="K5" s="69">
        <f>Vatinterface!B9</f>
        <v>45900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45930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45961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45991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46022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46053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46081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46112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46142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46173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46203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B2" sqref="B2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45747</v>
      </c>
      <c r="C4" s="62">
        <f>B5</f>
        <v>45777</v>
      </c>
      <c r="D4" s="104">
        <f>'Sales Q1-2'!$H$1</f>
        <v>0</v>
      </c>
      <c r="E4" s="105"/>
      <c r="F4" s="105">
        <f>'Sales Q1-2'!$G$1</f>
        <v>0</v>
      </c>
      <c r="G4" s="105"/>
      <c r="H4" s="105">
        <f>'Purc Q1-2'!$H$1</f>
        <v>0</v>
      </c>
      <c r="I4" s="105"/>
      <c r="J4" s="105">
        <f>'Purc Q1-2'!$G$1</f>
        <v>0</v>
      </c>
      <c r="K4" s="105"/>
      <c r="L4" s="115"/>
      <c r="M4" s="116">
        <f>IF('[2]Month 01'!$G$4&gt;0,'[2]Month 01'!$G$4,0)</f>
        <v>0</v>
      </c>
      <c r="N4" s="57"/>
    </row>
    <row r="5" spans="1:14" x14ac:dyDescent="0.15">
      <c r="A5" s="56"/>
      <c r="B5" s="62">
        <f>[1]Admin!$B$8</f>
        <v>45777</v>
      </c>
      <c r="C5" s="62">
        <f t="shared" ref="C5:C18" si="0">B6</f>
        <v>45808</v>
      </c>
      <c r="D5" s="104">
        <f>'Sales Q1-1'!$H$1</f>
        <v>0</v>
      </c>
      <c r="E5" s="105"/>
      <c r="F5" s="105">
        <f>'Sales Q1-1'!$G$1</f>
        <v>0</v>
      </c>
      <c r="G5" s="105"/>
      <c r="H5" s="105">
        <f>'Purc Q1-1'!$H$1</f>
        <v>0</v>
      </c>
      <c r="I5" s="105"/>
      <c r="J5" s="105">
        <f>'Purc Q1-1'!$G$1</f>
        <v>0</v>
      </c>
      <c r="K5" s="105"/>
      <c r="L5" s="115"/>
      <c r="M5" s="116">
        <f>IF('[2]Month 01'!$G$4&gt;0,'[2]Month 01'!$G$4,0)</f>
        <v>0</v>
      </c>
      <c r="N5" s="57"/>
    </row>
    <row r="6" spans="1:14" x14ac:dyDescent="0.15">
      <c r="A6" s="56"/>
      <c r="B6" s="62">
        <f>[1]Admin!$B$10</f>
        <v>45808</v>
      </c>
      <c r="C6" s="62">
        <f t="shared" si="0"/>
        <v>45838</v>
      </c>
      <c r="D6" s="104">
        <f>'[2]Month 01'!$H$1</f>
        <v>0</v>
      </c>
      <c r="E6" s="105">
        <f>SUM(D4:D6)</f>
        <v>0</v>
      </c>
      <c r="F6" s="105">
        <f>'[2]Month 01'!$G$1</f>
        <v>0</v>
      </c>
      <c r="G6" s="105">
        <f>SUM(F4:F6)</f>
        <v>0</v>
      </c>
      <c r="H6" s="105">
        <f>'[3]Month 01'!$H$1</f>
        <v>0</v>
      </c>
      <c r="I6" s="105">
        <f t="shared" ref="I6:I19" si="1">SUM(H4:H6)</f>
        <v>0</v>
      </c>
      <c r="J6" s="105">
        <f>'[3]Month 01'!$G$1</f>
        <v>0</v>
      </c>
      <c r="K6" s="105">
        <f t="shared" ref="K6:K19" si="2">SUM(J4:J6)</f>
        <v>0</v>
      </c>
      <c r="L6" s="115"/>
      <c r="M6" s="116">
        <f>IF('[2]Month 01'!$G$4&gt;0,'[2]Month 01'!$G$4,0)</f>
        <v>0</v>
      </c>
      <c r="N6" s="57"/>
    </row>
    <row r="7" spans="1:14" x14ac:dyDescent="0.15">
      <c r="A7" s="56"/>
      <c r="B7" s="62">
        <f>[1]Admin!$B$12</f>
        <v>45838</v>
      </c>
      <c r="C7" s="62">
        <f t="shared" si="0"/>
        <v>45869</v>
      </c>
      <c r="D7" s="104">
        <f>'[2]Month 02'!$H$1</f>
        <v>0</v>
      </c>
      <c r="E7" s="105">
        <f t="shared" ref="E7:G19" si="3">SUM(D5:D7)</f>
        <v>0</v>
      </c>
      <c r="F7" s="105">
        <f>'[2]Month 02'!$G$1</f>
        <v>0</v>
      </c>
      <c r="G7" s="105">
        <f t="shared" si="3"/>
        <v>0</v>
      </c>
      <c r="H7" s="105">
        <f>'[3]Month 02'!$H$1</f>
        <v>0</v>
      </c>
      <c r="I7" s="105">
        <f t="shared" si="1"/>
        <v>0</v>
      </c>
      <c r="J7" s="105">
        <f>'[3]Month 02'!$G$1</f>
        <v>0</v>
      </c>
      <c r="K7" s="105">
        <f t="shared" si="2"/>
        <v>0</v>
      </c>
      <c r="L7" s="115"/>
      <c r="M7" s="116">
        <f>IF('[2]Month 02'!$G$4&gt;0,'[2]Month 02'!$G$4,0)</f>
        <v>0</v>
      </c>
      <c r="N7" s="57"/>
    </row>
    <row r="8" spans="1:14" x14ac:dyDescent="0.15">
      <c r="A8" s="56"/>
      <c r="B8" s="62">
        <f>[1]Admin!$B$14</f>
        <v>45869</v>
      </c>
      <c r="C8" s="62">
        <f t="shared" si="0"/>
        <v>45900</v>
      </c>
      <c r="D8" s="104">
        <f>'[2]Month 03'!$H$1</f>
        <v>0</v>
      </c>
      <c r="E8" s="105">
        <f t="shared" si="3"/>
        <v>0</v>
      </c>
      <c r="F8" s="105">
        <f>'[2]Month 03'!$G$1</f>
        <v>0</v>
      </c>
      <c r="G8" s="105">
        <f t="shared" si="3"/>
        <v>0</v>
      </c>
      <c r="H8" s="105">
        <f>'[3]Month 03'!$H$1</f>
        <v>0</v>
      </c>
      <c r="I8" s="105">
        <f t="shared" si="1"/>
        <v>0</v>
      </c>
      <c r="J8" s="105">
        <f>'[3]Month 03'!$G$1</f>
        <v>0</v>
      </c>
      <c r="K8" s="105">
        <f t="shared" si="2"/>
        <v>0</v>
      </c>
      <c r="L8" s="115"/>
      <c r="M8" s="116">
        <f>IF('[2]Month 06'!$G$4&gt;0,'[2]Month 06'!$G$4,0)</f>
        <v>0</v>
      </c>
      <c r="N8" s="57"/>
    </row>
    <row r="9" spans="1:14" x14ac:dyDescent="0.15">
      <c r="A9" s="56"/>
      <c r="B9" s="62">
        <f>[1]Admin!$B$16</f>
        <v>45900</v>
      </c>
      <c r="C9" s="62">
        <f t="shared" si="0"/>
        <v>45930</v>
      </c>
      <c r="D9" s="104">
        <f>'[2]Month 04'!$H$1</f>
        <v>0</v>
      </c>
      <c r="E9" s="105">
        <f t="shared" si="3"/>
        <v>0</v>
      </c>
      <c r="F9" s="105">
        <f>'[2]Month 04'!$G$1</f>
        <v>0</v>
      </c>
      <c r="G9" s="105">
        <f t="shared" si="3"/>
        <v>0</v>
      </c>
      <c r="H9" s="105">
        <f>'[3]Month 04'!$H$1</f>
        <v>0</v>
      </c>
      <c r="I9" s="105">
        <f t="shared" si="1"/>
        <v>0</v>
      </c>
      <c r="J9" s="105">
        <f>'[3]Month 04'!$G$1</f>
        <v>0</v>
      </c>
      <c r="K9" s="105">
        <f t="shared" si="2"/>
        <v>0</v>
      </c>
      <c r="L9" s="115"/>
      <c r="M9" s="116">
        <f>IF('[2]Month 02'!$G$4&gt;0,'[2]Month 02'!$G$4,0)</f>
        <v>0</v>
      </c>
      <c r="N9" s="57"/>
    </row>
    <row r="10" spans="1:14" x14ac:dyDescent="0.15">
      <c r="A10" s="56"/>
      <c r="B10" s="62">
        <f>[1]Admin!$B$18</f>
        <v>45930</v>
      </c>
      <c r="C10" s="62">
        <f t="shared" si="0"/>
        <v>45961</v>
      </c>
      <c r="D10" s="104">
        <f>'[2]Month 05'!$H$1</f>
        <v>0</v>
      </c>
      <c r="E10" s="105">
        <f t="shared" si="3"/>
        <v>0</v>
      </c>
      <c r="F10" s="105">
        <f>'[2]Month 05'!$G$1</f>
        <v>0</v>
      </c>
      <c r="G10" s="105">
        <f t="shared" si="3"/>
        <v>0</v>
      </c>
      <c r="H10" s="105">
        <f>'[3]Month 05'!$H$1</f>
        <v>0</v>
      </c>
      <c r="I10" s="105">
        <f t="shared" si="1"/>
        <v>0</v>
      </c>
      <c r="J10" s="105">
        <f>'[3]Month 05'!$G$1</f>
        <v>0</v>
      </c>
      <c r="K10" s="105">
        <f t="shared" si="2"/>
        <v>0</v>
      </c>
      <c r="L10" s="115"/>
      <c r="M10" s="116">
        <f>IF('[2]Month 12'!$G$4&gt;0,'[2]Month 12'!$G$4,0)</f>
        <v>0</v>
      </c>
      <c r="N10" s="57"/>
    </row>
    <row r="11" spans="1:14" x14ac:dyDescent="0.15">
      <c r="A11" s="56"/>
      <c r="B11" s="62">
        <f>[1]Admin!$B$20</f>
        <v>45961</v>
      </c>
      <c r="C11" s="62">
        <f t="shared" si="0"/>
        <v>45991</v>
      </c>
      <c r="D11" s="104">
        <f>'[2]Month 06'!$H$1</f>
        <v>0</v>
      </c>
      <c r="E11" s="105">
        <f t="shared" si="3"/>
        <v>0</v>
      </c>
      <c r="F11" s="105">
        <f>'[2]Month 06'!$G$1</f>
        <v>0</v>
      </c>
      <c r="G11" s="105">
        <f t="shared" si="3"/>
        <v>0</v>
      </c>
      <c r="H11" s="105">
        <f>'[3]Month 06'!$H$1</f>
        <v>0</v>
      </c>
      <c r="I11" s="105">
        <f t="shared" si="1"/>
        <v>0</v>
      </c>
      <c r="J11" s="105">
        <f>'[3]Month 06'!$G$1</f>
        <v>0</v>
      </c>
      <c r="K11" s="105">
        <f t="shared" si="2"/>
        <v>0</v>
      </c>
      <c r="L11" s="115"/>
      <c r="M11" s="116">
        <f>IF('[2]Month 03'!$G$4&gt;0,'[2]Month 03'!$G$4,0)</f>
        <v>0</v>
      </c>
      <c r="N11" s="57"/>
    </row>
    <row r="12" spans="1:14" x14ac:dyDescent="0.15">
      <c r="A12" s="56"/>
      <c r="B12" s="62">
        <f>[1]Admin!$B$22</f>
        <v>45991</v>
      </c>
      <c r="C12" s="62">
        <f t="shared" si="0"/>
        <v>46022</v>
      </c>
      <c r="D12" s="104">
        <f>'[2]Month 07'!$H$1</f>
        <v>0</v>
      </c>
      <c r="E12" s="105">
        <f t="shared" si="3"/>
        <v>0</v>
      </c>
      <c r="F12" s="105">
        <f>'[2]Month 07'!$G$1</f>
        <v>0</v>
      </c>
      <c r="G12" s="105">
        <f t="shared" si="3"/>
        <v>0</v>
      </c>
      <c r="H12" s="105">
        <f>'[3]Month 07'!$H$1</f>
        <v>0</v>
      </c>
      <c r="I12" s="105">
        <f t="shared" si="1"/>
        <v>0</v>
      </c>
      <c r="J12" s="105">
        <f>'[3]Month 07'!$G$1</f>
        <v>0</v>
      </c>
      <c r="K12" s="105">
        <f t="shared" si="2"/>
        <v>0</v>
      </c>
      <c r="L12" s="115"/>
      <c r="M12" s="116">
        <f>IF('[2]Month 08'!$G$4&gt;0,'[2]Month 08'!$G$4,0)</f>
        <v>0</v>
      </c>
      <c r="N12" s="57"/>
    </row>
    <row r="13" spans="1:14" x14ac:dyDescent="0.15">
      <c r="A13" s="56"/>
      <c r="B13" s="62">
        <f>[1]Admin!$B$24</f>
        <v>46022</v>
      </c>
      <c r="C13" s="62">
        <f t="shared" si="0"/>
        <v>46053</v>
      </c>
      <c r="D13" s="104">
        <f>'[2]Month 08'!$H$1</f>
        <v>0</v>
      </c>
      <c r="E13" s="105">
        <f t="shared" si="3"/>
        <v>0</v>
      </c>
      <c r="F13" s="105">
        <f>'[2]Month 08'!$G$1</f>
        <v>0</v>
      </c>
      <c r="G13" s="105">
        <f t="shared" si="3"/>
        <v>0</v>
      </c>
      <c r="H13" s="105">
        <f>'[3]Month 08'!$H$1</f>
        <v>0</v>
      </c>
      <c r="I13" s="105">
        <f t="shared" si="1"/>
        <v>0</v>
      </c>
      <c r="J13" s="105">
        <f>'[3]Month 08'!$G$1</f>
        <v>0</v>
      </c>
      <c r="K13" s="105">
        <f t="shared" si="2"/>
        <v>0</v>
      </c>
      <c r="L13" s="115"/>
      <c r="M13" s="116">
        <f>IF('[2]Month 05'!$G$4&gt;0,'[2]Month 05'!$G$4,0)</f>
        <v>0</v>
      </c>
      <c r="N13" s="57"/>
    </row>
    <row r="14" spans="1:14" x14ac:dyDescent="0.15">
      <c r="A14" s="56"/>
      <c r="B14" s="62">
        <f>[1]Admin!$B$26</f>
        <v>46053</v>
      </c>
      <c r="C14" s="62">
        <f t="shared" si="0"/>
        <v>46081</v>
      </c>
      <c r="D14" s="104">
        <f>'[2]Month 09'!$H$1</f>
        <v>0</v>
      </c>
      <c r="E14" s="105">
        <f t="shared" si="3"/>
        <v>0</v>
      </c>
      <c r="F14" s="105">
        <f>'[2]Month 09'!$G$1</f>
        <v>0</v>
      </c>
      <c r="G14" s="105">
        <f t="shared" si="3"/>
        <v>0</v>
      </c>
      <c r="H14" s="105">
        <f>'[3]Month 09'!$H$1</f>
        <v>0</v>
      </c>
      <c r="I14" s="105">
        <f t="shared" si="1"/>
        <v>0</v>
      </c>
      <c r="J14" s="105">
        <f>'[3]Month 09'!$G$1</f>
        <v>0</v>
      </c>
      <c r="K14" s="105">
        <f t="shared" si="2"/>
        <v>0</v>
      </c>
      <c r="L14" s="115"/>
      <c r="M14" s="116">
        <f>IF('[2]Month 05'!$G$4&gt;0,'[2]Month 05'!$G$4,0)</f>
        <v>0</v>
      </c>
      <c r="N14" s="57"/>
    </row>
    <row r="15" spans="1:14" x14ac:dyDescent="0.15">
      <c r="A15" s="56"/>
      <c r="B15" s="62">
        <f>[1]Admin!$B$28</f>
        <v>46081</v>
      </c>
      <c r="C15" s="62">
        <f t="shared" si="0"/>
        <v>46112</v>
      </c>
      <c r="D15" s="104">
        <f>'[2]Month 10'!$H$1</f>
        <v>0</v>
      </c>
      <c r="E15" s="105">
        <f t="shared" si="3"/>
        <v>0</v>
      </c>
      <c r="F15" s="105">
        <f>'[2]Month 10'!$G$1</f>
        <v>0</v>
      </c>
      <c r="G15" s="105">
        <f t="shared" si="3"/>
        <v>0</v>
      </c>
      <c r="H15" s="105">
        <f>'[3]Month 10'!$H$1</f>
        <v>0</v>
      </c>
      <c r="I15" s="105">
        <f t="shared" si="1"/>
        <v>0</v>
      </c>
      <c r="J15" s="105">
        <f>'[3]Month 10'!$G$1</f>
        <v>0</v>
      </c>
      <c r="K15" s="105">
        <f t="shared" si="2"/>
        <v>0</v>
      </c>
      <c r="L15" s="115"/>
      <c r="M15" s="116">
        <f>IF('[2]Month 08'!$G$4&gt;0,'[2]Month 08'!$G$4,0)</f>
        <v>0</v>
      </c>
      <c r="N15" s="57"/>
    </row>
    <row r="16" spans="1:14" x14ac:dyDescent="0.15">
      <c r="A16" s="56"/>
      <c r="B16" s="62">
        <f>[1]Admin!$B$30</f>
        <v>46112</v>
      </c>
      <c r="C16" s="62">
        <f t="shared" si="0"/>
        <v>46142</v>
      </c>
      <c r="D16" s="104">
        <f>'[2]Month 11'!$H$1</f>
        <v>0</v>
      </c>
      <c r="E16" s="105">
        <f t="shared" si="3"/>
        <v>0</v>
      </c>
      <c r="F16" s="105">
        <f>'[2]Month 11'!$G$1</f>
        <v>0</v>
      </c>
      <c r="G16" s="105">
        <f t="shared" si="3"/>
        <v>0</v>
      </c>
      <c r="H16" s="105">
        <f>'[3]Month 11'!$H$1</f>
        <v>0</v>
      </c>
      <c r="I16" s="105">
        <f t="shared" si="1"/>
        <v>0</v>
      </c>
      <c r="J16" s="105">
        <f>'[3]Month 11'!$G$1</f>
        <v>0</v>
      </c>
      <c r="K16" s="105">
        <f t="shared" si="2"/>
        <v>0</v>
      </c>
      <c r="L16" s="115"/>
      <c r="M16" s="116">
        <f>IF('[2]Month 03'!$G$4&gt;0,'[2]Month 03'!$G$4,0)</f>
        <v>0</v>
      </c>
      <c r="N16" s="57"/>
    </row>
    <row r="17" spans="1:14" x14ac:dyDescent="0.15">
      <c r="A17" s="56"/>
      <c r="B17" s="62">
        <f>[1]Admin!$B$32</f>
        <v>46142</v>
      </c>
      <c r="C17" s="62">
        <f t="shared" si="0"/>
        <v>46173</v>
      </c>
      <c r="D17" s="104">
        <f>'[2]Month 12'!$H$1</f>
        <v>0</v>
      </c>
      <c r="E17" s="105">
        <f t="shared" si="3"/>
        <v>0</v>
      </c>
      <c r="F17" s="105">
        <f>'[2]Month 12'!$G$1</f>
        <v>0</v>
      </c>
      <c r="G17" s="105">
        <f t="shared" si="3"/>
        <v>0</v>
      </c>
      <c r="H17" s="105">
        <f>'[3]Month 12'!$H$1</f>
        <v>0</v>
      </c>
      <c r="I17" s="105">
        <f t="shared" si="1"/>
        <v>0</v>
      </c>
      <c r="J17" s="105">
        <f>'[3]Month 12'!$G$1</f>
        <v>0</v>
      </c>
      <c r="K17" s="105">
        <f t="shared" si="2"/>
        <v>0</v>
      </c>
      <c r="L17" s="115"/>
      <c r="M17" s="116">
        <f>IF('[2]Month 12'!$G$4&gt;0,'[2]Month 12'!$G$4,0)</f>
        <v>0</v>
      </c>
      <c r="N17" s="57"/>
    </row>
    <row r="18" spans="1:14" x14ac:dyDescent="0.15">
      <c r="A18" s="56"/>
      <c r="B18" s="62">
        <f>[1]Admin!$B$34</f>
        <v>46173</v>
      </c>
      <c r="C18" s="62">
        <f t="shared" si="0"/>
        <v>46203</v>
      </c>
      <c r="D18" s="104">
        <f>'Sales Q4+1'!$H$1</f>
        <v>0</v>
      </c>
      <c r="E18" s="105">
        <f t="shared" si="3"/>
        <v>0</v>
      </c>
      <c r="F18" s="105">
        <f>'Sales Q4+1'!$G$1</f>
        <v>0</v>
      </c>
      <c r="G18" s="105">
        <f t="shared" si="3"/>
        <v>0</v>
      </c>
      <c r="H18" s="105">
        <f>'Purc Q4+1'!$H$1</f>
        <v>0</v>
      </c>
      <c r="I18" s="105">
        <f t="shared" si="1"/>
        <v>0</v>
      </c>
      <c r="J18" s="105">
        <f>'Purc Q4+1'!$G$1</f>
        <v>0</v>
      </c>
      <c r="K18" s="105">
        <f t="shared" si="2"/>
        <v>0</v>
      </c>
      <c r="L18" s="115"/>
      <c r="M18" s="116">
        <f>IF('[2]Month 12'!$G$4&gt;0,'[2]Month 12'!$G$4,0)</f>
        <v>0</v>
      </c>
      <c r="N18" s="57"/>
    </row>
    <row r="19" spans="1:14" x14ac:dyDescent="0.15">
      <c r="A19" s="56"/>
      <c r="B19" s="62">
        <f>[1]Admin!$B$36</f>
        <v>46203</v>
      </c>
      <c r="C19" s="63">
        <f>[1]Admin!$B$38</f>
        <v>46234</v>
      </c>
      <c r="D19" s="104">
        <f>'Sales Q4+2'!$H$1</f>
        <v>0</v>
      </c>
      <c r="E19" s="105">
        <f t="shared" si="3"/>
        <v>0</v>
      </c>
      <c r="F19" s="105">
        <f>'Sales Q4+2'!$G$1</f>
        <v>0</v>
      </c>
      <c r="G19" s="105">
        <f t="shared" si="3"/>
        <v>0</v>
      </c>
      <c r="H19" s="105">
        <f>'Purc Q4+2'!$H$1</f>
        <v>0</v>
      </c>
      <c r="I19" s="105">
        <f t="shared" si="1"/>
        <v>0</v>
      </c>
      <c r="J19" s="105">
        <f>'Purc Q4+2'!$G$1</f>
        <v>0</v>
      </c>
      <c r="K19" s="105">
        <f t="shared" si="2"/>
        <v>0</v>
      </c>
      <c r="L19" s="115"/>
      <c r="M19" s="116">
        <f>IF('[2]Month 12'!$G$4&gt;0,'[2]Month 12'!$G$4,0)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Sales Q1-2</vt:lpstr>
      <vt:lpstr>Sales Q1-1</vt:lpstr>
      <vt:lpstr>Sales Q4+1</vt:lpstr>
      <vt:lpstr>Sales Q4+2</vt:lpstr>
      <vt:lpstr>Purc Q1-2</vt:lpstr>
      <vt:lpstr>Purc Q1-1</vt:lpstr>
      <vt:lpstr>Purc Q4+1</vt:lpstr>
      <vt:lpstr>Purc Q4+2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2025-04-03T23:12:26Z</dcterms:modified>
</cp:coreProperties>
</file>