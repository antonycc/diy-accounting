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2CA0FB48-34BC-F647-A8BB-747A2DE2D2B3}" xr6:coauthVersionLast="47" xr6:coauthVersionMax="47" xr10:uidLastSave="{00000000-0000-0000-0000-000000000000}"/>
  <bookViews>
    <workbookView xWindow="0" yWindow="500" windowWidth="27060" windowHeight="1672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<sst xmlns="http://schemas.openxmlformats.org/spreadsheetml/2006/main" count="98" uniqueCount="73">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</sst>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15" fontId="2" fillId="2" borderId="1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0" fontId="2" fillId="3" borderId="24" xfId="0" applyFont="1" applyFill="1" applyBorder="1"/>
    <xf numFmtId="0" fontId="12" fillId="3" borderId="25" xfId="0" applyFont="1" applyFill="1" applyBorder="1"/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45388</v>
          </cell>
          <cell r="G4">
            <v>1</v>
          </cell>
        </row>
        <row r="5">
          <cell r="G5">
            <v>0.18</v>
          </cell>
        </row>
        <row r="8">
          <cell r="E8">
            <v>12000</v>
          </cell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45752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16384" width="9.1640625" style="5"/>
  </cols>
  <sheetData>
    <row r="1" spans="1:27" s="6" customFormat="1" ht="13.5" customHeight="1" x14ac:dyDescent="0.15">
      <c r="A1" s="149"/>
      <c r="B1" s="127" t="s">
        <v>0</v>
      </c>
      <c r="C1" s="138" t="s">
        <v>8</v>
      </c>
      <c r="D1" s="139"/>
      <c r="E1" s="62">
        <f>E57+E110</f>
        <v>0</v>
      </c>
      <c r="F1" s="20">
        <f>F57+F110</f>
        <v>0</v>
      </c>
      <c r="G1" s="20">
        <f>G57+G110</f>
        <v>0</v>
      </c>
      <c r="H1" s="151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28"/>
      <c r="M1" s="151" t="s">
        <v>6</v>
      </c>
      <c r="N1" s="128"/>
      <c r="O1" s="20">
        <f>O57+O110</f>
        <v>0</v>
      </c>
      <c r="P1" s="147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28"/>
      <c r="U1" s="14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</row>
    <row r="2" spans="1:27" ht="12" customHeight="1" x14ac:dyDescent="0.15">
      <c r="A2" s="150"/>
      <c r="B2" s="127"/>
      <c r="C2" s="144" t="s">
        <v>1</v>
      </c>
      <c r="D2" s="146" t="s">
        <v>2</v>
      </c>
      <c r="E2" s="135" t="s">
        <v>3</v>
      </c>
      <c r="F2" s="131" t="s">
        <v>56</v>
      </c>
      <c r="G2" s="119" t="s">
        <v>57</v>
      </c>
      <c r="H2" s="153"/>
      <c r="I2" s="140" t="s">
        <v>17</v>
      </c>
      <c r="J2" s="131" t="s">
        <v>56</v>
      </c>
      <c r="K2" s="119" t="s">
        <v>58</v>
      </c>
      <c r="L2" s="129"/>
      <c r="M2" s="152"/>
      <c r="N2" s="129"/>
      <c r="O2" s="119" t="s">
        <v>59</v>
      </c>
      <c r="P2" s="148"/>
      <c r="Q2" s="119" t="s">
        <v>4</v>
      </c>
      <c r="R2" s="135" t="s">
        <v>5</v>
      </c>
      <c r="S2" s="119" t="s">
        <v>60</v>
      </c>
      <c r="T2" s="136"/>
      <c r="U2" s="127"/>
      <c r="V2" s="137" t="s">
        <v>29</v>
      </c>
      <c r="W2" s="137" t="s">
        <v>30</v>
      </c>
      <c r="X2" s="137" t="s">
        <v>32</v>
      </c>
      <c r="Y2" s="135" t="s">
        <v>50</v>
      </c>
      <c r="Z2" s="135" t="s">
        <v>51</v>
      </c>
      <c r="AA2" s="22"/>
    </row>
    <row r="3" spans="1:27" ht="12" customHeight="1" x14ac:dyDescent="0.15">
      <c r="A3" s="150"/>
      <c r="B3" s="127"/>
      <c r="C3" s="145"/>
      <c r="D3" s="146"/>
      <c r="E3" s="135"/>
      <c r="F3" s="132"/>
      <c r="G3" s="120"/>
      <c r="H3" s="153"/>
      <c r="I3" s="140"/>
      <c r="J3" s="132"/>
      <c r="K3" s="120"/>
      <c r="L3" s="129"/>
      <c r="M3" s="152"/>
      <c r="N3" s="129"/>
      <c r="O3" s="120"/>
      <c r="P3" s="148"/>
      <c r="Q3" s="141"/>
      <c r="R3" s="135"/>
      <c r="S3" s="120"/>
      <c r="T3" s="136"/>
      <c r="U3" s="127"/>
      <c r="V3" s="135"/>
      <c r="W3" s="135"/>
      <c r="X3" s="135"/>
      <c r="Y3" s="135"/>
      <c r="Z3" s="135"/>
      <c r="AA3" s="22"/>
    </row>
    <row r="4" spans="1:27" s="16" customFormat="1" ht="12.75" customHeight="1" x14ac:dyDescent="0.15">
      <c r="A4" s="150"/>
      <c r="B4" s="127"/>
      <c r="C4" s="145"/>
      <c r="D4" s="146"/>
      <c r="E4" s="135"/>
      <c r="F4" s="112">
        <f>[1]Admin!$B$4</f>
        <v>45388</v>
      </c>
      <c r="G4" s="112">
        <f>[1]Admin!$B$4</f>
        <v>45388</v>
      </c>
      <c r="H4" s="153"/>
      <c r="I4" s="140"/>
      <c r="J4" s="112">
        <f>[1]Admin!$B$17</f>
        <v>45752</v>
      </c>
      <c r="K4" s="112">
        <f>[1]Admin!$B$17</f>
        <v>45752</v>
      </c>
      <c r="L4" s="130"/>
      <c r="M4" s="152"/>
      <c r="N4" s="130"/>
      <c r="O4" s="112">
        <f>[1]Admin!$B$4</f>
        <v>45388</v>
      </c>
      <c r="P4" s="116">
        <f>[1]Admin!$G$4</f>
        <v>1</v>
      </c>
      <c r="Q4" s="142"/>
      <c r="R4" s="15">
        <f>[1]Admin!$G$5</f>
        <v>0.18</v>
      </c>
      <c r="S4" s="112">
        <f>[1]Admin!$B$17</f>
        <v>45752</v>
      </c>
      <c r="T4" s="136"/>
      <c r="U4" s="127"/>
      <c r="V4" s="135"/>
      <c r="W4" s="135"/>
      <c r="X4" s="135"/>
      <c r="Y4" s="135"/>
      <c r="Z4" s="135"/>
      <c r="AA4" s="23"/>
    </row>
    <row r="5" spans="1:27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27" ht="13.5" customHeight="1" thickBot="1" x14ac:dyDescent="0.2">
      <c r="A6" s="101"/>
      <c r="B6" s="117" t="s">
        <v>61</v>
      </c>
      <c r="C6" s="121"/>
      <c r="D6" s="113">
        <f>[1]Admin!$B$4</f>
        <v>45388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27" ht="13.5" customHeight="1" x14ac:dyDescent="0.15">
      <c r="A7" s="101"/>
      <c r="B7" s="123" t="s">
        <v>10</v>
      </c>
      <c r="C7" s="123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27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IF(E8&gt;0,E8-J8,"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27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IF(E9&gt;0,E9-J9,"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27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IF(E10&gt;0,E10-J10,"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27" x14ac:dyDescent="0.15">
      <c r="A11" s="101"/>
      <c r="B11" s="124" t="s">
        <v>67</v>
      </c>
      <c r="C11" s="125"/>
      <c r="D11" s="126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</row>
    <row r="12" spans="1:27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27" x14ac:dyDescent="0.15">
      <c r="A13" s="101"/>
      <c r="B13" s="123" t="s">
        <v>9</v>
      </c>
      <c r="C13" s="123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27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IF(E14&gt;0,E14-J14," ")</f>
        <v xml:space="preserve"> </v>
      </c>
      <c r="L14" s="7"/>
      <c r="M14" s="13"/>
      <c r="N14" s="7"/>
      <c r="O14" s="45"/>
      <c r="P14" s="88"/>
      <c r="Q14" s="11"/>
      <c r="R14" s="11" t="str">
        <f>IF(O14&gt;0,O14*R$4," ")</f>
        <v xml:space="preserve"> </v>
      </c>
      <c r="S14" s="11" t="str">
        <f>IF(O14&gt;0,O14-R14,"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</row>
    <row r="15" spans="1:27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IF(E15&gt;0,E15-J15," ")</f>
        <v xml:space="preserve"> </v>
      </c>
      <c r="L15" s="7"/>
      <c r="M15" s="13"/>
      <c r="N15" s="7"/>
      <c r="O15" s="45"/>
      <c r="P15" s="88"/>
      <c r="Q15" s="11"/>
      <c r="R15" s="11" t="str">
        <f>IF(O15&gt;0,O15*R$4," ")</f>
        <v xml:space="preserve"> </v>
      </c>
      <c r="S15" s="11" t="str">
        <f>IF(O15&gt;0,O15-R15,"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</row>
    <row r="16" spans="1:27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IF(E16&gt;0,E16-J16," ")</f>
        <v xml:space="preserve"> </v>
      </c>
      <c r="L16" s="7"/>
      <c r="M16" s="13"/>
      <c r="N16" s="7"/>
      <c r="O16" s="45"/>
      <c r="P16" s="88"/>
      <c r="Q16" s="11"/>
      <c r="R16" s="11" t="str">
        <f>IF(O16&gt;0,O16*R$4," ")</f>
        <v xml:space="preserve"> </v>
      </c>
      <c r="S16" s="11" t="str">
        <f>IF(O16&gt;0,O16-R16,"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</row>
    <row r="17" spans="1:27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IF(E17&gt;0,E17-J17," ")</f>
        <v xml:space="preserve"> </v>
      </c>
      <c r="L17" s="7"/>
      <c r="M17" s="13"/>
      <c r="N17" s="7"/>
      <c r="O17" s="45"/>
      <c r="P17" s="88"/>
      <c r="Q17" s="11"/>
      <c r="R17" s="11" t="str">
        <f>IF(O17&gt;0,O17*R$4," ")</f>
        <v xml:space="preserve"> </v>
      </c>
      <c r="S17" s="11" t="str">
        <f>IF(O17&gt;0,O17-R17,"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</row>
    <row r="18" spans="1:27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IF(E18&gt;0,E18-J18," ")</f>
        <v xml:space="preserve"> </v>
      </c>
      <c r="L18" s="7"/>
      <c r="M18" s="13"/>
      <c r="N18" s="7"/>
      <c r="O18" s="45"/>
      <c r="P18" s="88"/>
      <c r="Q18" s="11"/>
      <c r="R18" s="11" t="str">
        <f>IF(O18&gt;0,O18*R$4," ")</f>
        <v xml:space="preserve"> </v>
      </c>
      <c r="S18" s="11" t="str">
        <f>IF(O18&gt;0,O18-R18,"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</row>
    <row r="19" spans="1:27" x14ac:dyDescent="0.15">
      <c r="A19" s="101"/>
      <c r="B19" s="124" t="s">
        <v>68</v>
      </c>
      <c r="C19" s="125"/>
      <c r="D19" s="126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</row>
    <row r="20" spans="1:27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27" x14ac:dyDescent="0.15">
      <c r="A21" s="101"/>
      <c r="B21" s="123" t="s">
        <v>55</v>
      </c>
      <c r="C21" s="123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27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IF(E22&gt;0,E22-J22," ")</f>
        <v xml:space="preserve"> </v>
      </c>
      <c r="L22" s="7"/>
      <c r="M22" s="13"/>
      <c r="N22" s="7"/>
      <c r="O22" s="45"/>
      <c r="P22" s="88"/>
      <c r="Q22" s="11"/>
      <c r="R22" s="11" t="str">
        <f>IF(O22&gt;0,O22*R$4," ")</f>
        <v xml:space="preserve"> </v>
      </c>
      <c r="S22" s="11" t="str">
        <f>IF(O22&gt;0,O22-R22,"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</row>
    <row r="23" spans="1:27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IF(E23&gt;0,E23-J23," ")</f>
        <v xml:space="preserve"> </v>
      </c>
      <c r="L23" s="7"/>
      <c r="M23" s="13"/>
      <c r="N23" s="7"/>
      <c r="O23" s="45"/>
      <c r="P23" s="88"/>
      <c r="Q23" s="11"/>
      <c r="R23" s="11" t="str">
        <f>IF(O23&gt;0,O23*R$4," ")</f>
        <v xml:space="preserve"> </v>
      </c>
      <c r="S23" s="11" t="str">
        <f>IF(O23&gt;0,O23-R23,"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</row>
    <row r="24" spans="1:27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IF(E24&gt;0,E24-J24," ")</f>
        <v xml:space="preserve"> </v>
      </c>
      <c r="L24" s="7"/>
      <c r="M24" s="13"/>
      <c r="N24" s="7"/>
      <c r="O24" s="45"/>
      <c r="P24" s="88"/>
      <c r="Q24" s="11"/>
      <c r="R24" s="11" t="str">
        <f>IF(O24&gt;0,O24*R$4," ")</f>
        <v xml:space="preserve"> </v>
      </c>
      <c r="S24" s="11" t="str">
        <f>IF(O24&gt;0,O24-R24,"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</row>
    <row r="25" spans="1:27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IF(E25&gt;0,E25-J25," ")</f>
        <v xml:space="preserve"> </v>
      </c>
      <c r="L25" s="7"/>
      <c r="M25" s="13"/>
      <c r="N25" s="7"/>
      <c r="O25" s="45"/>
      <c r="P25" s="88"/>
      <c r="Q25" s="11"/>
      <c r="R25" s="11" t="str">
        <f>IF(O25&gt;0,O25*R$4," ")</f>
        <v xml:space="preserve"> </v>
      </c>
      <c r="S25" s="11" t="str">
        <f>IF(O25&gt;0,O25-R25,"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</row>
    <row r="26" spans="1:27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IF(E26&gt;0,E26-J26," ")</f>
        <v xml:space="preserve"> </v>
      </c>
      <c r="L26" s="7"/>
      <c r="M26" s="13"/>
      <c r="N26" s="7"/>
      <c r="O26" s="45"/>
      <c r="P26" s="88"/>
      <c r="Q26" s="11"/>
      <c r="R26" s="11" t="str">
        <f>IF(O26&gt;0,O26*R$4," ")</f>
        <v xml:space="preserve"> </v>
      </c>
      <c r="S26" s="11" t="str">
        <f>IF(O26&gt;0,O26-R26,"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</row>
    <row r="27" spans="1:27" x14ac:dyDescent="0.15">
      <c r="A27" s="101"/>
      <c r="B27" s="124" t="s">
        <v>69</v>
      </c>
      <c r="C27" s="125"/>
      <c r="D27" s="126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</row>
    <row r="28" spans="1:27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27" x14ac:dyDescent="0.15">
      <c r="A29" s="101"/>
      <c r="B29" s="123" t="s">
        <v>7</v>
      </c>
      <c r="C29" s="123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27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IF(E30&gt;0,E30-J30," ")</f>
        <v xml:space="preserve"> </v>
      </c>
      <c r="L30" s="7"/>
      <c r="M30" s="13"/>
      <c r="N30" s="7"/>
      <c r="O30" s="45"/>
      <c r="P30" s="88"/>
      <c r="Q30" s="11"/>
      <c r="R30" s="11" t="str">
        <f>IF(O30&gt;0,O30*R$4," ")</f>
        <v xml:space="preserve"> </v>
      </c>
      <c r="S30" s="11" t="str">
        <f>IF(O30&gt;0,O30-R30,"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</row>
    <row r="31" spans="1:27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IF(E31&gt;0,E31-J31," ")</f>
        <v xml:space="preserve"> </v>
      </c>
      <c r="L31" s="7"/>
      <c r="M31" s="13"/>
      <c r="N31" s="7"/>
      <c r="O31" s="45"/>
      <c r="P31" s="88"/>
      <c r="Q31" s="11"/>
      <c r="R31" s="11" t="str">
        <f>IF(O31&gt;0,O31*R$4," ")</f>
        <v xml:space="preserve"> </v>
      </c>
      <c r="S31" s="11" t="str">
        <f>IF(O31&gt;0,O31-R31,"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</row>
    <row r="32" spans="1:27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IF(E32&gt;0,E32-J32," ")</f>
        <v xml:space="preserve"> </v>
      </c>
      <c r="L32" s="7"/>
      <c r="M32" s="13"/>
      <c r="N32" s="7"/>
      <c r="O32" s="45"/>
      <c r="P32" s="88"/>
      <c r="Q32" s="11"/>
      <c r="R32" s="11" t="str">
        <f>IF(O32&gt;0,O32*R$4," ")</f>
        <v xml:space="preserve"> </v>
      </c>
      <c r="S32" s="11" t="str">
        <f>IF(O32&gt;0,O32-R32,"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</row>
    <row r="33" spans="1:27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IF(E33&gt;0,E33-J33," ")</f>
        <v xml:space="preserve"> </v>
      </c>
      <c r="L33" s="7"/>
      <c r="M33" s="13"/>
      <c r="N33" s="7"/>
      <c r="O33" s="45"/>
      <c r="P33" s="88"/>
      <c r="Q33" s="11"/>
      <c r="R33" s="11" t="str">
        <f>IF(O33&gt;0,O33*R$4," ")</f>
        <v xml:space="preserve"> </v>
      </c>
      <c r="S33" s="11" t="str">
        <f>IF(O33&gt;0,O33-R33,"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</row>
    <row r="34" spans="1:27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IF(E34&gt;0,E34-J34," ")</f>
        <v xml:space="preserve"> </v>
      </c>
      <c r="L34" s="7"/>
      <c r="M34" s="13"/>
      <c r="N34" s="7"/>
      <c r="O34" s="45"/>
      <c r="P34" s="88"/>
      <c r="Q34" s="11"/>
      <c r="R34" s="11" t="str">
        <f>IF(O34&gt;0,O34*R$4," ")</f>
        <v xml:space="preserve"> </v>
      </c>
      <c r="S34" s="11" t="str">
        <f>IF(O34&gt;0,O34-R34,"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</row>
    <row r="35" spans="1:27" x14ac:dyDescent="0.15">
      <c r="A35" s="101"/>
      <c r="B35" s="124" t="s">
        <v>70</v>
      </c>
      <c r="C35" s="125"/>
      <c r="D35" s="126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</row>
    <row r="36" spans="1:27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27" ht="13" x14ac:dyDescent="0.15">
      <c r="A37" s="101"/>
      <c r="B37" s="154" t="s">
        <v>63</v>
      </c>
      <c r="C37" s="155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27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IF(E38&gt;0,E38-J38,"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IF(O38&gt;0,MIN(O38*R$4*(1-M38),[1]Admin!$G$8*(1-M38))," ")</f>
        <v xml:space="preserve"> </v>
      </c>
      <c r="S38" s="11" t="str">
        <f>IF(O38&gt;0,O38-R38,"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</row>
    <row r="39" spans="1:27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IF(E39&gt;0,E39-J39,"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IF(O39&gt;0,MIN(O39*R$4*(1-M39),[1]Admin!$G$8*(1-M39))," ")</f>
        <v xml:space="preserve"> </v>
      </c>
      <c r="S39" s="11" t="str">
        <f>IF(O39&gt;0,O39-R39,"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</row>
    <row r="40" spans="1:27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IF(E40&gt;0,E40-J40,"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IF(O40&gt;0,MIN(O40*R$4*(1-M40),[1]Admin!$G$8*(1-M40))," ")</f>
        <v xml:space="preserve"> </v>
      </c>
      <c r="S40" s="11" t="str">
        <f>IF(O40&gt;0,O40-R40,"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</row>
    <row r="41" spans="1:27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IF(E41&gt;0,E41-J41,"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IF(O41&gt;0,MIN(O41*R$4*(1-M41),[1]Admin!$G$8*(1-M41))," ")</f>
        <v xml:space="preserve"> </v>
      </c>
      <c r="S41" s="11" t="str">
        <f>IF(O41&gt;0,O41-R41,"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</row>
    <row r="42" spans="1:27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IF(E42&gt;0,E42-J42,"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IF(O42&gt;0,MIN(O42*R$4*(1-M42),[1]Admin!$G$8*(1-M42))," ")</f>
        <v xml:space="preserve"> </v>
      </c>
      <c r="S42" s="11" t="str">
        <f>IF(O42&gt;0,O42-R42,"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</row>
    <row r="43" spans="1:27" ht="12" customHeight="1" x14ac:dyDescent="0.15">
      <c r="A43" s="101"/>
      <c r="B43" s="154" t="s">
        <v>64</v>
      </c>
      <c r="C43" s="155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27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IF(E44&gt;0,E44-J44,"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IF(O44&gt;0,MIN(O44*R$4*(1-M44),[1]Admin!$G$8*(1-M44))," ")</f>
        <v xml:space="preserve"> </v>
      </c>
      <c r="S44" s="11" t="str">
        <f>IF(O44&gt;0,O44-R44,"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</row>
    <row r="45" spans="1:27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IF(O45&gt;0,MIN(O45*R$4*(1-M45),[1]Admin!$G$8*(1-M45))," ")</f>
        <v xml:space="preserve"> </v>
      </c>
      <c r="S45" s="11" t="str">
        <f>IF(O45&gt;0,O45-R45,"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</row>
    <row r="46" spans="1:27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IF(E46&gt;0,E46-J46,"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IF(O46&gt;0,MIN(O46*R$4*(1-M46),[1]Admin!$G$8*(1-M46))," ")</f>
        <v xml:space="preserve"> </v>
      </c>
      <c r="S46" s="11" t="str">
        <f>IF(O46&gt;0,O46-R46,"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</row>
    <row r="47" spans="1:27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IF(E47&gt;0,E47-J47,"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IF(O47&gt;0,MIN(O47*R$4*(1-M47),[1]Admin!$G$8*(1-M47))," ")</f>
        <v xml:space="preserve"> </v>
      </c>
      <c r="S47" s="11" t="str">
        <f>IF(O47&gt;0,O47-R47,"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</row>
    <row r="48" spans="1:27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IF(E48&gt;0,E48-J48,"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IF(O48&gt;0,MIN(O48*R$4*(1-M48),[1]Admin!$G$8*(1-M48))," ")</f>
        <v xml:space="preserve"> </v>
      </c>
      <c r="S48" s="11" t="str">
        <f>IF(O48&gt;0,O48-R48,"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</row>
    <row r="49" spans="1:27" x14ac:dyDescent="0.15">
      <c r="A49" s="101"/>
      <c r="B49" s="123" t="s">
        <v>54</v>
      </c>
      <c r="C49" s="123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27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IF(O50&gt;0,O50*R$4," ")</f>
        <v xml:space="preserve"> </v>
      </c>
      <c r="S50" s="11" t="str">
        <f>IF(O50&gt;0,O50-R50,"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</row>
    <row r="51" spans="1:27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IF(O51&gt;0,O51*R$4," ")</f>
        <v xml:space="preserve"> </v>
      </c>
      <c r="S51" s="11" t="str">
        <f>IF(O51&gt;0,O51-R51,"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</row>
    <row r="52" spans="1:27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IF(O52&gt;0,O52*R$4," ")</f>
        <v xml:space="preserve"> </v>
      </c>
      <c r="S52" s="11" t="str">
        <f>IF(O52&gt;0,O52-R52,"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</row>
    <row r="53" spans="1:27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IF(O53&gt;0,O53*R$4," ")</f>
        <v xml:space="preserve"> </v>
      </c>
      <c r="S53" s="11" t="str">
        <f>IF(O53&gt;0,O53-R53,"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</row>
    <row r="54" spans="1:27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IF(O54&gt;0,O54*R$4," ")</f>
        <v xml:space="preserve"> </v>
      </c>
      <c r="S54" s="11" t="str">
        <f>IF(O54&gt;0,O54-R54,"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</row>
    <row r="55" spans="1:27" x14ac:dyDescent="0.15">
      <c r="A55" s="101"/>
      <c r="B55" s="124" t="s">
        <v>71</v>
      </c>
      <c r="C55" s="125"/>
      <c r="D55" s="126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</row>
    <row r="56" spans="1:27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27" ht="13.5" customHeight="1" thickBot="1" x14ac:dyDescent="0.2">
      <c r="A57" s="101"/>
      <c r="B57" s="117" t="str">
        <f>B6</f>
        <v xml:space="preserve">EXISTING FIXED ASSETS at </v>
      </c>
      <c r="C57" s="121"/>
      <c r="D57" s="113">
        <f>D6</f>
        <v>45388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</row>
    <row r="58" spans="1:27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27" ht="13.5" customHeight="1" thickBot="1" x14ac:dyDescent="0.2">
      <c r="A59" s="101"/>
      <c r="B59" s="117" t="s">
        <v>62</v>
      </c>
      <c r="C59" s="118"/>
      <c r="D59" s="113">
        <f>[1]Admin!$B$4</f>
        <v>45388</v>
      </c>
      <c r="E59" s="11"/>
      <c r="F59" s="133"/>
      <c r="G59" s="134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27" ht="12.75" customHeight="1" x14ac:dyDescent="0.15">
      <c r="A60" s="101"/>
      <c r="B60" s="123" t="s">
        <v>10</v>
      </c>
      <c r="C60" s="123"/>
      <c r="D60" s="30"/>
      <c r="E60" s="8"/>
      <c r="F60" s="134"/>
      <c r="G60" s="134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27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IF(E61&gt;0,E61-J61,"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27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IF(E62&gt;0,E62-J62,"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27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IF(E63&gt;0,E63-J63,"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27" x14ac:dyDescent="0.15">
      <c r="A64" s="101"/>
      <c r="B64" s="124" t="s">
        <v>12</v>
      </c>
      <c r="C64" s="125"/>
      <c r="D64" s="126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</row>
    <row r="65" spans="1:27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27" ht="12" customHeight="1" x14ac:dyDescent="0.15">
      <c r="A66" s="101"/>
      <c r="B66" s="123" t="s">
        <v>9</v>
      </c>
      <c r="C66" s="123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27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IF(E67&gt;0,E67-J67,"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27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IF(E68&gt;0,E68-J68,"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27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IF(E69&gt;0,E69-J69,"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27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IF(E70&gt;0,E70-J70,"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27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IF(E71&gt;0,E71-J71,"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27" x14ac:dyDescent="0.15">
      <c r="A72" s="101"/>
      <c r="B72" s="124" t="s">
        <v>13</v>
      </c>
      <c r="C72" s="125"/>
      <c r="D72" s="126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</row>
    <row r="73" spans="1:27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27" x14ac:dyDescent="0.15">
      <c r="A74" s="101"/>
      <c r="B74" s="123" t="s">
        <v>55</v>
      </c>
      <c r="C74" s="123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27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IF(E75&gt;0,E75-J75,"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27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IF(E76&gt;0,E76-J76,"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27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IF(E77&gt;0,E77-J77,"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27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IF(E78&gt;0,E78-J78,"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27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IF(E79&gt;0,E79-J79,"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27" x14ac:dyDescent="0.15">
      <c r="A80" s="101"/>
      <c r="B80" s="124" t="s">
        <v>14</v>
      </c>
      <c r="C80" s="125"/>
      <c r="D80" s="126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</row>
    <row r="81" spans="1:27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27" x14ac:dyDescent="0.15">
      <c r="A82" s="101"/>
      <c r="B82" s="123" t="s">
        <v>7</v>
      </c>
      <c r="C82" s="123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27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IF(E83&gt;0,E83-J83,"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27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IF(E84&gt;0,E84-J84,"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27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IF(E85&gt;0,E85-J85,"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27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IF(E86&gt;0,E86-J86,"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27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IF(E87&gt;0,E87-J87,"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27" x14ac:dyDescent="0.15">
      <c r="A88" s="101"/>
      <c r="B88" s="124" t="s">
        <v>15</v>
      </c>
      <c r="C88" s="125"/>
      <c r="D88" s="126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</row>
    <row r="89" spans="1:27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27" ht="12" customHeight="1" x14ac:dyDescent="0.15">
      <c r="A90" s="101"/>
      <c r="B90" s="154" t="str">
        <f>B37</f>
        <v>Motor Vehicles - costing over £</v>
      </c>
      <c r="C90" s="154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27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IF(E91&gt;0,E91-J91,"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IF(E91&gt;0,MIN(E91*R$4*(1-M91),[1]Admin!$G$8*(1-M91))," ")</f>
        <v xml:space="preserve"> </v>
      </c>
      <c r="S91" s="11" t="str">
        <f>IF(E91&gt;0,E91-R91,"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</row>
    <row r="92" spans="1:27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IF(E92&gt;0,E92-J92,"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IF(E92&gt;0,MIN(E92*R$4*(1-M92),[1]Admin!$G$8*(1-M92))," ")</f>
        <v xml:space="preserve"> </v>
      </c>
      <c r="S92" s="11" t="str">
        <f>IF(E92&gt;0,E92-R92,"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</row>
    <row r="93" spans="1:27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IF(E93&gt;0,E93-J93,"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IF(E93&gt;0,MIN(E93*R$4*(1-M93),[1]Admin!$G$8*(1-M93))," ")</f>
        <v xml:space="preserve"> </v>
      </c>
      <c r="S93" s="11" t="str">
        <f>IF(E93&gt;0,E93-R93,"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</row>
    <row r="94" spans="1:27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IF(E94&gt;0,E94-J94,"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IF(E94&gt;0,MIN(E94*R$4*(1-M94),[1]Admin!$G$8*(1-M94))," ")</f>
        <v xml:space="preserve"> </v>
      </c>
      <c r="S94" s="11" t="str">
        <f>IF(E94&gt;0,E94-R94,"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</row>
    <row r="95" spans="1:27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IF(E95&gt;0,E95-J95,"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IF(E95&gt;0,MIN(E95*R$4*(1-M95),[1]Admin!$G$8*(1-M95))," ")</f>
        <v xml:space="preserve"> </v>
      </c>
      <c r="S95" s="11" t="str">
        <f>IF(E95&gt;0,E95-R95,"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</row>
    <row r="96" spans="1:27" ht="12" customHeight="1" x14ac:dyDescent="0.15">
      <c r="A96" s="101"/>
      <c r="B96" s="122" t="str">
        <f>B43</f>
        <v>Motor Vehicles - costing under £</v>
      </c>
      <c r="C96" s="122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27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IF(E97&gt;0,E97-J97,"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IF(E97&gt;0,MIN(E97*R$4*(1-M97),[1]Admin!$G$8*(1-M97))," ")</f>
        <v xml:space="preserve"> </v>
      </c>
      <c r="S97" s="11" t="str">
        <f>IF(E97&gt;0,E97-R97,"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</row>
    <row r="98" spans="1:27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IF(E98&gt;0,MIN(E98*R$4*(1-M98),[1]Admin!$G$8*(1-M98))," ")</f>
        <v xml:space="preserve"> </v>
      </c>
      <c r="S98" s="11" t="str">
        <f>IF(E98&gt;0,E98-R98,"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</row>
    <row r="99" spans="1:27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IF(E99&gt;0,E99-J99,"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IF(E99&gt;0,MIN(E99*R$4*(1-M99),[1]Admin!$G$8*(1-M99))," ")</f>
        <v xml:space="preserve"> </v>
      </c>
      <c r="S99" s="11" t="str">
        <f>IF(E99&gt;0,E99-R99,"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</row>
    <row r="100" spans="1:27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IF(E100&gt;0,E100-J100,"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IF(E100&gt;0,MIN(E100*R$4*(1-M100),[1]Admin!$G$8*(1-M100))," ")</f>
        <v xml:space="preserve"> </v>
      </c>
      <c r="S100" s="11" t="str">
        <f>IF(E100&gt;0,E100-R100,"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</row>
    <row r="101" spans="1:27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IF(E101&gt;0,E101-J101,"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IF(E101&gt;0,MIN(E101*R$4*(1-M101),[1]Admin!$G$8*(1-M101))," ")</f>
        <v xml:space="preserve"> </v>
      </c>
      <c r="S101" s="11" t="str">
        <f>IF(E101&gt;0,E101-R101,"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</row>
    <row r="102" spans="1:27" x14ac:dyDescent="0.15">
      <c r="A102" s="101"/>
      <c r="B102" s="123" t="s">
        <v>54</v>
      </c>
      <c r="C102" s="123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27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27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27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27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27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27" x14ac:dyDescent="0.15">
      <c r="A108" s="101"/>
      <c r="B108" s="124" t="s">
        <v>16</v>
      </c>
      <c r="C108" s="125"/>
      <c r="D108" s="126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</row>
    <row r="109" spans="1:27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27" ht="13.5" customHeight="1" thickBot="1" x14ac:dyDescent="0.2">
      <c r="A110" s="101"/>
      <c r="B110" s="117" t="str">
        <f>B59</f>
        <v xml:space="preserve">NEW FIXED ASSETS Bought AFTER </v>
      </c>
      <c r="C110" s="118"/>
      <c r="D110" s="113">
        <f>D59</f>
        <v>45388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</row>
    <row r="111" spans="1:27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  <mergeCell ref="A1:A4"/>
    <mergeCell ref="M1:M4"/>
    <mergeCell ref="H1:H4"/>
    <mergeCell ref="F2:F3"/>
    <mergeCell ref="G2:G3"/>
    <mergeCell ref="Z2:Z4"/>
    <mergeCell ref="U1:U4"/>
    <mergeCell ref="C2:C4"/>
    <mergeCell ref="D2:D4"/>
    <mergeCell ref="E2:E4"/>
    <mergeCell ref="R2:R3"/>
    <mergeCell ref="P1:P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65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73" t="s">
        <v>18</v>
      </c>
      <c r="F2" s="174"/>
      <c r="G2" s="175"/>
      <c r="H2" s="176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62" t="s">
        <v>52</v>
      </c>
      <c r="H4" s="163"/>
      <c r="I4" s="164"/>
      <c r="J4" s="50"/>
      <c r="K4" s="107" t="s">
        <v>27</v>
      </c>
      <c r="L4" s="50"/>
      <c r="M4" s="159" t="s">
        <v>53</v>
      </c>
      <c r="N4" s="160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60"/>
      <c r="N5" s="160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6" t="s">
        <v>12</v>
      </c>
      <c r="C6" s="157"/>
      <c r="D6" s="158"/>
      <c r="E6" s="53">
        <f>Schedule!E64</f>
        <v>0</v>
      </c>
      <c r="F6" s="50"/>
      <c r="G6" s="156" t="s">
        <v>22</v>
      </c>
      <c r="H6" s="157"/>
      <c r="I6" s="157"/>
      <c r="J6" s="167"/>
      <c r="K6" s="53">
        <f>Schedule!V11+Schedule!V64</f>
        <v>0</v>
      </c>
      <c r="L6" s="50"/>
      <c r="M6" s="160"/>
      <c r="N6" s="160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6" t="s">
        <v>13</v>
      </c>
      <c r="C7" s="157"/>
      <c r="D7" s="158"/>
      <c r="E7" s="53">
        <f>Schedule!E72</f>
        <v>0</v>
      </c>
      <c r="F7" s="50"/>
      <c r="G7" s="156" t="s">
        <v>23</v>
      </c>
      <c r="H7" s="157"/>
      <c r="I7" s="157"/>
      <c r="J7" s="167"/>
      <c r="K7" s="53">
        <f>Schedule!V19+Schedule!V72</f>
        <v>0</v>
      </c>
      <c r="L7" s="50"/>
      <c r="M7" s="160"/>
      <c r="N7" s="160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6" t="s">
        <v>14</v>
      </c>
      <c r="C8" s="157"/>
      <c r="D8" s="158"/>
      <c r="E8" s="53">
        <f>Schedule!E80</f>
        <v>0</v>
      </c>
      <c r="F8" s="50"/>
      <c r="G8" s="156" t="s">
        <v>24</v>
      </c>
      <c r="H8" s="157"/>
      <c r="I8" s="157"/>
      <c r="J8" s="167"/>
      <c r="K8" s="53">
        <f>Schedule!V27+Schedule!V80</f>
        <v>0</v>
      </c>
      <c r="L8" s="50"/>
      <c r="M8" s="160"/>
      <c r="N8" s="160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6" t="s">
        <v>15</v>
      </c>
      <c r="C9" s="157"/>
      <c r="D9" s="158"/>
      <c r="E9" s="53">
        <f>Schedule!E88</f>
        <v>0</v>
      </c>
      <c r="F9" s="50"/>
      <c r="G9" s="156" t="s">
        <v>25</v>
      </c>
      <c r="H9" s="157"/>
      <c r="I9" s="157"/>
      <c r="J9" s="167"/>
      <c r="K9" s="53">
        <f>Schedule!V35+Schedule!V88</f>
        <v>0</v>
      </c>
      <c r="L9" s="50"/>
      <c r="M9" s="160"/>
      <c r="N9" s="160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6" t="s">
        <v>16</v>
      </c>
      <c r="C10" s="157"/>
      <c r="D10" s="158"/>
      <c r="E10" s="53">
        <f>Schedule!E108</f>
        <v>0</v>
      </c>
      <c r="F10" s="50"/>
      <c r="G10" s="156" t="s">
        <v>26</v>
      </c>
      <c r="H10" s="157"/>
      <c r="I10" s="157"/>
      <c r="J10" s="167"/>
      <c r="K10" s="53">
        <f>Schedule!V55+Schedule!V108</f>
        <v>0</v>
      </c>
      <c r="L10" s="50"/>
      <c r="M10" s="160"/>
      <c r="N10" s="160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7" t="s">
        <v>20</v>
      </c>
      <c r="C11" s="177"/>
      <c r="D11" s="178"/>
      <c r="E11" s="54">
        <f>SUM(E6:E10)</f>
        <v>0</v>
      </c>
      <c r="F11" s="50"/>
      <c r="G11" s="171" t="s">
        <v>20</v>
      </c>
      <c r="H11" s="171"/>
      <c r="I11" s="171"/>
      <c r="J11" s="172"/>
      <c r="K11" s="54">
        <f>SUM(K6:K10)</f>
        <v>0</v>
      </c>
      <c r="L11" s="50"/>
      <c r="M11" s="160"/>
      <c r="N11" s="160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60"/>
      <c r="N12" s="160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7" t="s">
        <v>66</v>
      </c>
      <c r="C13" s="177"/>
      <c r="D13" s="178"/>
      <c r="E13" s="115">
        <f>[2]Mar!$AB$2</f>
        <v>0</v>
      </c>
      <c r="F13" s="50"/>
      <c r="G13" s="171" t="s">
        <v>28</v>
      </c>
      <c r="H13" s="171"/>
      <c r="I13" s="171"/>
      <c r="J13" s="172"/>
      <c r="K13" s="115">
        <f>[3]Mar!$V$2</f>
        <v>0</v>
      </c>
      <c r="L13" s="50"/>
      <c r="M13" s="161"/>
      <c r="N13" s="161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61"/>
      <c r="N14" s="161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8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9"/>
      <c r="D15" s="170"/>
      <c r="E15" s="105">
        <f>E13-E11</f>
        <v>0</v>
      </c>
      <c r="F15" s="50"/>
      <c r="G15" s="168" t="str">
        <f>IF(K15&gt;0,"Sales exceed Assets listed on Schedule",IF(K15&lt;0,"Assets listed on Schedule exceed Sales values","Sales reconcile with Fixed asset Schedule"))</f>
        <v>Sales reconcile with Fixed asset Schedule</v>
      </c>
      <c r="H15" s="169"/>
      <c r="I15" s="169"/>
      <c r="J15" s="170"/>
      <c r="K15" s="105">
        <f>K13-K11</f>
        <v>0</v>
      </c>
      <c r="L15" s="50"/>
      <c r="M15" s="161"/>
      <c r="N15" s="161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  <mergeCell ref="B8:D8"/>
    <mergeCell ref="B9:D9"/>
    <mergeCell ref="M4:N15"/>
    <mergeCell ref="G4:I4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4" t="s">
        <v>48</v>
      </c>
      <c r="D2" s="185"/>
      <c r="E2" s="84">
        <f>SUM(E8:E14)</f>
        <v>0</v>
      </c>
      <c r="F2" s="82"/>
      <c r="G2" s="182" t="s">
        <v>49</v>
      </c>
      <c r="H2" s="183"/>
      <c r="I2" s="183"/>
      <c r="J2" s="183"/>
      <c r="K2" s="183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3"/>
      <c r="H3" s="183"/>
      <c r="I3" s="183"/>
      <c r="J3" s="183"/>
      <c r="K3" s="183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27" t="s">
        <v>39</v>
      </c>
      <c r="C5" s="146" t="s">
        <v>33</v>
      </c>
      <c r="D5" s="146" t="s">
        <v>37</v>
      </c>
      <c r="E5" s="180" t="s">
        <v>45</v>
      </c>
      <c r="F5" s="180" t="s">
        <v>44</v>
      </c>
      <c r="G5" s="180" t="s">
        <v>38</v>
      </c>
      <c r="H5" s="146" t="s">
        <v>35</v>
      </c>
      <c r="I5" s="180" t="s">
        <v>47</v>
      </c>
      <c r="J5" s="181"/>
      <c r="K5" s="181"/>
      <c r="L5" s="146" t="s">
        <v>46</v>
      </c>
      <c r="M5" s="94"/>
    </row>
    <row r="6" spans="1:13" s="86" customFormat="1" ht="30.75" customHeight="1" x14ac:dyDescent="0.15">
      <c r="A6" s="94"/>
      <c r="B6" s="179"/>
      <c r="C6" s="179"/>
      <c r="D6" s="179"/>
      <c r="E6" s="179"/>
      <c r="F6" s="179"/>
      <c r="G6" s="179"/>
      <c r="H6" s="179"/>
      <c r="I6" s="85" t="s">
        <v>34</v>
      </c>
      <c r="J6" s="85" t="s">
        <v>42</v>
      </c>
      <c r="K6" s="85" t="s">
        <v>36</v>
      </c>
      <c r="L6" s="179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IF(H10&gt;0,#REF!/H10,"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IF(H12&gt;0,#REF!/H12,"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IF(H14&gt;0,#REF!/H14,"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27" t="s">
        <v>39</v>
      </c>
      <c r="C19" s="146" t="s">
        <v>33</v>
      </c>
      <c r="D19" s="146" t="s">
        <v>37</v>
      </c>
      <c r="E19" s="180" t="s">
        <v>45</v>
      </c>
      <c r="F19" s="180" t="s">
        <v>44</v>
      </c>
      <c r="G19" s="180" t="s">
        <v>38</v>
      </c>
      <c r="H19" s="146" t="s">
        <v>35</v>
      </c>
      <c r="I19" s="180" t="s">
        <v>47</v>
      </c>
      <c r="J19" s="181"/>
      <c r="K19" s="181"/>
      <c r="L19" s="146" t="s">
        <v>46</v>
      </c>
      <c r="M19" s="94"/>
    </row>
    <row r="20" spans="1:13" s="86" customFormat="1" ht="30.75" customHeight="1" x14ac:dyDescent="0.15">
      <c r="A20" s="94"/>
      <c r="B20" s="179"/>
      <c r="C20" s="179"/>
      <c r="D20" s="179"/>
      <c r="E20" s="179"/>
      <c r="F20" s="179"/>
      <c r="G20" s="179"/>
      <c r="H20" s="179"/>
      <c r="I20" s="85" t="s">
        <v>34</v>
      </c>
      <c r="J20" s="85" t="s">
        <v>42</v>
      </c>
      <c r="K20" s="85" t="s">
        <v>36</v>
      </c>
      <c r="L20" s="179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IF(H24&gt;0,#REF!/H24,"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IF(H26&gt;0,#REF!/H26,"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IF(H28&gt;0,#REF!/H28,"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DIY Accounting Customer Service</cp:lastModifiedBy>
  <cp:lastPrinted>2007-03-03T22:52:10Z</cp:lastPrinted>
  <dcterms:created xsi:type="dcterms:W3CDTF">2002-12-30T15:31:19Z</dcterms:created>
  <dcterms:modified xsi:type="dcterms:W3CDTF">2024-04-02T18:54:43Z</dcterms:modified>
</cp:coreProperties>
</file>