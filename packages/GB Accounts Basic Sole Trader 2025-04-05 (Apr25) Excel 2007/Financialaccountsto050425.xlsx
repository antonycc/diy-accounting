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4-25/GB Accounts Basic Sole Trader 2025-04-05 (Apr25) Excel 2007/"/>
    </mc:Choice>
  </mc:AlternateContent>
  <xr:revisionPtr revIDLastSave="0" documentId="13_ncr:1_{8ED320CA-D044-4F4C-85EF-08B8F8544C18}" xr6:coauthVersionLast="47" xr6:coauthVersionMax="47" xr10:uidLastSave="{00000000-0000-0000-0000-000000000000}"/>
  <bookViews>
    <workbookView xWindow="1400" yWindow="196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U28" i="6"/>
  <c r="V28" i="6"/>
  <c r="W28" i="6"/>
  <c r="W12" i="6"/>
  <c r="W13" i="6"/>
  <c r="W14" i="6"/>
  <c r="W15" i="6"/>
  <c r="W16" i="6"/>
  <c r="W17" i="6"/>
  <c r="W18" i="6"/>
  <c r="W19" i="6"/>
  <c r="W20" i="6"/>
  <c r="W21" i="6"/>
  <c r="V12" i="6"/>
  <c r="V13" i="6"/>
  <c r="V14" i="6"/>
  <c r="V15" i="6"/>
  <c r="V16" i="6"/>
  <c r="V17" i="6"/>
  <c r="V18" i="6"/>
  <c r="V19" i="6"/>
  <c r="V20" i="6"/>
  <c r="V21" i="6"/>
  <c r="U12" i="6"/>
  <c r="U13" i="6"/>
  <c r="U14" i="6"/>
  <c r="U15"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G1" i="31"/>
  <c r="P3"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U1" i="41" l="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T15" i="6" s="1"/>
  <c r="X15" i="6" s="1"/>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E1" i="35" s="1"/>
  <c r="G1" i="35"/>
  <c r="A1" i="35"/>
  <c r="D85" i="15"/>
  <c r="E24" i="6"/>
  <c r="C20" i="6"/>
  <c r="C16" i="6"/>
  <c r="C21" i="6"/>
  <c r="C18" i="6"/>
  <c r="D22" i="6"/>
  <c r="D24" i="6" s="1"/>
  <c r="F15" i="6"/>
  <c r="C6" i="6"/>
  <c r="E3" i="6"/>
  <c r="D3" i="6"/>
  <c r="X6" i="6" l="1"/>
  <c r="X28" i="6" s="1"/>
  <c r="T28" i="6"/>
  <c r="G1" i="36"/>
  <c r="P3" i="36"/>
  <c r="P1" i="36" s="1"/>
  <c r="E1" i="36" s="1"/>
  <c r="G4" i="37"/>
  <c r="C1" i="38"/>
  <c r="C26" i="6"/>
  <c r="A1" i="36"/>
  <c r="A1" i="37" s="1"/>
  <c r="B2" i="35"/>
  <c r="X2" i="38"/>
  <c r="X1" i="39"/>
  <c r="C9" i="6"/>
  <c r="G15" i="6"/>
  <c r="G22" i="6" s="1"/>
  <c r="G24" i="6" s="1"/>
  <c r="F22" i="6"/>
  <c r="F24" i="6" s="1"/>
  <c r="F3" i="6"/>
  <c r="X2" i="39" l="1"/>
  <c r="X1" i="40"/>
  <c r="G4" i="38"/>
  <c r="C1" i="39"/>
  <c r="G1" i="37"/>
  <c r="P3" i="37"/>
  <c r="P1" i="37" s="1"/>
  <c r="E1" i="37" s="1"/>
  <c r="B2" i="36"/>
  <c r="G3" i="6"/>
  <c r="H15" i="6"/>
  <c r="H22" i="6" s="1"/>
  <c r="H24" i="6" s="1"/>
  <c r="B2" i="37" l="1"/>
  <c r="G1" i="38"/>
  <c r="P3" i="38"/>
  <c r="P1" i="38" s="1"/>
  <c r="G4" i="39"/>
  <c r="C1" i="40"/>
  <c r="A1" i="38"/>
  <c r="X2" i="40"/>
  <c r="X1" i="41"/>
  <c r="I15" i="6"/>
  <c r="I22" i="6" s="1"/>
  <c r="I24" i="6" s="1"/>
  <c r="H3" i="6"/>
  <c r="A1" i="39" l="1"/>
  <c r="B2" i="38"/>
  <c r="G4" i="40"/>
  <c r="A1" i="40" s="1"/>
  <c r="C1" i="41"/>
  <c r="X2" i="41"/>
  <c r="X1" i="42"/>
  <c r="X2" i="42" s="1"/>
  <c r="G1" i="39"/>
  <c r="P3" i="39"/>
  <c r="P1" i="39" s="1"/>
  <c r="E1" i="38"/>
  <c r="I3" i="6"/>
  <c r="J15" i="6"/>
  <c r="J22" i="6" s="1"/>
  <c r="J24" i="6" s="1"/>
  <c r="B2" i="39" l="1"/>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E1" i="42" l="1"/>
  <c r="B2" i="41"/>
  <c r="L3" i="6"/>
  <c r="M15" i="6"/>
  <c r="M22" i="6" s="1"/>
  <c r="M24" i="6" s="1"/>
  <c r="M3" i="6" l="1"/>
  <c r="N15" i="6"/>
  <c r="N22" i="6" s="1"/>
  <c r="N24" i="6" s="1"/>
  <c r="O15" i="6"/>
  <c r="O22" i="6" l="1"/>
  <c r="O24" i="6" s="1"/>
  <c r="C15" i="6"/>
  <c r="C22" i="6" s="1"/>
  <c r="N3" i="6"/>
  <c r="O3" i="6"/>
  <c r="C3" i="6" l="1"/>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<sst xmlns="http://schemas.openxmlformats.org/spreadsheetml/2006/main" count="1080" uniqueCount="329">
  <si>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</si>
  <si>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</si>
  <si>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</si>
  <si>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</si>
  <si>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</si>
  <si>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</si>
  <si>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</si>
  <si>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</si>
  <si>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</si>
  <si>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</si>
  <si>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</si>
  <si>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</si>
  <si>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</si>
  <si>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</si>
  <si>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</si>
  <si>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</si>
  <si>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</si>
  <si>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</si>
  <si>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</si>
  <si>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</si>
  <si>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</si>
  <si>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</si>
  <si>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</si>
  <si>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</si>
  <si>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</si>
  <si>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</si>
  <si>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</si>
  <si>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</si>
  <si>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</si>
  <si>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</si>
  <si>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</si>
  <si>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</si>
  <si>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</si>
  <si>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</si>
  <si>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</si>
  <si>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</si>
  <si>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</si>
  <si>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</si>
  <si>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</si>
  <si>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</si>
  <si>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</si>
  <si>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</si>
  <si>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</si>
  <si>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</si>
  <si>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</si>
  <si>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</si>
  <si>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</si>
  <si>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</si>
  <si>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</si>
  <si>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</si>
  <si>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</si>
  <si>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</si>
  <si>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</si>
  <si>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</si>
  <si>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</si>
  <si>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</si>
  <si>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</si>
  <si>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</si>
  <si>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</si>
  <si>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</si>
  <si>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</si>
  <si>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</si>
  <si>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</si>
  <si>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</si>
  <si>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</si>
  <si>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</si>
  <si>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</si>
  <si>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</si>
  <si>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</si>
  <si>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</si>
  <si>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</si>
  <si>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</si>
  <si>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</si>
  <si>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</si>
  <si>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</si>
  <si>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</si>
  <si>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</si>
  <si>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</si>
  <si>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</si>
  <si>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</si>
  <si>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</si>
  <si>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</si>
  <si>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</si>
  <si>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</si>
  <si>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</si>
  <si>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</si>
  <si>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</si>
  <si>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</si>
  <si>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</si>
  <si>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</si>
  <si>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</si>
  <si>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</si>
  <si>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</si>
  <si>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</si>
  <si>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</si>
  <si>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</si>
  <si>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</si>
  <si>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</si>
  <si>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</si>
  <si>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</si>
  <si>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</si>
  <si>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</si>
  <si>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</si>
  <si>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</si>
  <si>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</si>
  <si>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</si>
  <si>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</si>
  <si>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</si>
  <si>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</si>
  <si>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</si>
  <si>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</si>
  <si>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</si>
  <si>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</si>
  <si>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</si>
  <si>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</si>
  <si>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</si>
  <si>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</si>
  <si>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</si>
  <si>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</si>
  <si>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</si>
  <si>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</si>
  <si>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</si>
  <si>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</si>
  <si>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</si>
  <si>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</si>
  <si>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</si>
  <si>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</si>
  <si>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</si>
  <si>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</si>
  <si>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</si>
  <si>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</si>
  <si>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</si>
  <si>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</si>
  <si>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</si>
  <si>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</si>
  <si>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</si>
  <si>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</si>
  <si>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</si>
  <si>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</si>
  <si>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</si>
  <si>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</si>
  <si>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</si>
  <si>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</si>
  <si>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</si>
  <si>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</si>
  <si>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</si>
  <si>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</si>
  <si>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</si>
  <si>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</si>
  <si>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</si>
  <si>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</si>
  <si>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</si>
  <si>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</si>
  <si>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</si>
  <si>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</si>
  <si>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</si>
  <si>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</si>
  <si>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</si>
  <si>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</si>
  <si>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</si>
  <si>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</si>
  <si>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</si>
  <si>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</si>
  <si>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</si>
  <si>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</si>
  <si>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</si>
  <si>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</si>
  <si>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</si>
  <si>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</si>
  <si>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</si>
  <si>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</si>
  <si>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</si>
  <si>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</si>
  <si>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</si>
  <si>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</si>
  <si>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</si>
  <si>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</si>
  <si>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</si>
  <si>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</si>
  <si>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</si>
  <si>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</si>
  <si>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</si>
  <si>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</si>
  <si>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</si>
  <si>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</si>
  <si>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</si>
  <si>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</si>
  <si>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</si>
  <si>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</si>
  <si>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</si>
  <si>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</si>
  <si>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</si>
  <si>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</si>
  <si>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</si>
  <si>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</si>
  <si>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</si>
  <si>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</si>
  <si>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</si>
  <si>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</si>
  <si>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</si>
  <si>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</si>
  <si>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</si>
  <si>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</si>
  <si>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</si>
  <si>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</si>
  <si>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</si>
  <si>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</si>
  <si>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</si>
  <si>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</si>
  <si>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</si>
  <si>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</si>
  <si>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</si>
  <si>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</si>
  <si>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</si>
  <si>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</si>
  <si>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</si>
  <si>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</si>
  <si>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</si>
  <si>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</si>
  <si>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</si>
  <si>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</si>
  <si>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</si>
  <si>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</si>
  <si>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</si>
  <si>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</si>
  <si>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</si>
  <si>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</si>
  <si>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</si>
  <si>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</si>
  <si>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</si>
  <si>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</si>
  <si>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</si>
  <si>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</si>
  <si>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</si>
  <si>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</si>
  <si>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</si>
  <si>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</si>
  <si>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</si>
  <si>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</si>
  <si>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</si>
  <si>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</si>
  <si>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</si>
  <si>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</si>
  <si>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</si>
  <si>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</si>
  <si>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</si>
  <si>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</si>
  <si>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</si>
  <si>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</si>
  <si>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</si>
  <si>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</si>
  <si>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</si>
  <si>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</si>
  <si>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</si>
  <si>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</si>
  <si>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</si>
  <si>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</si>
  <si>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</si>
  <si>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</si>
  <si>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</si>
  <si>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</si>
  <si>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</si>
  <si>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</si>
  <si>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</si>
  <si>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</si>
  <si>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</si>
  <si>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</si>
  <si>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</si>
  <si>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</si>
  <si>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</si>
  <si>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</si>
  <si>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</si>
  <si>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</si>
  <si>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</si>
  <si>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</si>
  <si>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</si>
  <si>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</si>
  <si>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</si>
  <si>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</si>
  <si>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</si>
  <si>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</si>
  <si>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</si>
  <si>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</si>
  <si>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</si>
  <si>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</si>
  <si>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</si>
  <si>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</si>
  <si>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</si>
  <si>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</si>
  <si>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</si>
  <si>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</si>
  <si>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</si>
  <si>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SUBMIT ONLINE RETURN TO HMRC BY 31ST JANUARY 2024</t>
  </si>
  <si>
    <t>2024-25</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</si>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</sst>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168" fontId="20" fillId="2" borderId="0" xfId="0" applyNumberFormat="1" applyFont="1" applyFill="1" applyAlignment="1">
      <alignment horizontal="left"/>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0" fillId="0" borderId="0" xfId="0" applyFont="1" applyAlignment="1" applyProtection="1">
      <alignment vertical="center"/>
      <protection hidden="1"/>
    </xf>
    <xf numFmtId="15"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20" fillId="2" borderId="0" xfId="0" applyFont="1" applyFill="1" applyProtection="1">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20" fillId="2" borderId="0" xfId="0" applyFont="1" applyFill="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0" fillId="2" borderId="0" xfId="0" applyFill="1" applyAlignment="1" applyProtection="1">
      <alignment horizontal="left"/>
      <protection hidden="1"/>
    </xf>
    <xf numFmtId="169" fontId="0" fillId="0" borderId="38" xfId="0" applyNumberFormat="1" applyBorder="1" applyAlignment="1" applyProtection="1">
      <alignment horizontal="center"/>
      <protection hidden="1"/>
    </xf>
    <xf numFmtId="0" fontId="25" fillId="0" borderId="0" xfId="0" applyFont="1" applyAlignment="1" applyProtection="1">
      <alignment vertical="center"/>
      <protection hidden="1"/>
    </xf>
    <xf numFmtId="0" fontId="25" fillId="0" borderId="24" xfId="0" applyFont="1" applyBorder="1" applyAlignment="1" applyProtection="1">
      <alignment vertical="center"/>
      <protection hidden="1"/>
    </xf>
    <xf numFmtId="0" fontId="25" fillId="0" borderId="30" xfId="0" applyFont="1" applyBorder="1" applyAlignment="1" applyProtection="1">
      <alignment vertical="center"/>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0" fontId="3" fillId="2" borderId="1" xfId="0" applyFont="1" applyFill="1" applyBorder="1" applyAlignment="1" applyProtection="1">
      <alignment horizontal="center" vertical="center"/>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0" fontId="1" fillId="2" borderId="5" xfId="0" applyFont="1" applyFill="1" applyBorder="1" applyAlignment="1" applyProtection="1">
      <alignment horizontal="left" indent="1"/>
      <protection hidden="1"/>
    </xf>
    <xf numFmtId="0" fontId="0" fillId="0" borderId="6" xfId="0" applyBorder="1" applyAlignment="1">
      <alignment horizontal="left" indent="1"/>
    </xf>
    <xf numFmtId="0" fontId="3" fillId="2" borderId="5" xfId="0" applyFont="1" applyFill="1" applyBorder="1" applyAlignment="1" applyProtection="1">
      <alignment horizontal="left" indent="1"/>
      <protection hidden="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0" fontId="9" fillId="2" borderId="5" xfId="0" applyFont="1" applyFill="1" applyBorder="1" applyAlignment="1">
      <alignment horizontal="right" vertical="center"/>
    </xf>
    <xf numFmtId="0" fontId="14" fillId="0" borderId="42" xfId="0" applyFont="1" applyBorder="1" applyAlignment="1">
      <alignment horizontal="right" vertical="center"/>
    </xf>
    <xf numFmtId="0" fontId="9" fillId="2" borderId="34" xfId="0" applyFont="1" applyFill="1" applyBorder="1" applyAlignment="1">
      <alignment horizontal="right" vertical="center" wrapText="1"/>
    </xf>
    <xf numFmtId="0" fontId="9" fillId="2" borderId="45" xfId="0" applyFont="1" applyFill="1" applyBorder="1" applyAlignment="1">
      <alignment horizontal="right" vertical="center" wrapText="1"/>
    </xf>
    <xf numFmtId="0" fontId="9" fillId="2" borderId="0" xfId="0" applyFont="1" applyFill="1" applyAlignment="1">
      <alignment vertical="center" wrapText="1"/>
    </xf>
    <xf numFmtId="0" fontId="0" fillId="0" borderId="42" xfId="0" applyBorder="1" applyAlignment="1">
      <alignment horizontal="right" vertical="center"/>
    </xf>
    <xf numFmtId="0" fontId="0" fillId="0" borderId="34" xfId="0" applyBorder="1" applyAlignment="1">
      <alignment horizontal="right" vertical="center" wrapText="1"/>
    </xf>
    <xf numFmtId="165" fontId="7" fillId="2" borderId="12"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 fontId="7" fillId="2" borderId="1" xfId="0" applyNumberFormat="1" applyFont="1" applyFill="1" applyBorder="1" applyAlignment="1">
      <alignment horizontal="center" vertical="center" wrapText="1"/>
    </xf>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165" fontId="7" fillId="5" borderId="1"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30" fillId="5" borderId="1" xfId="2" applyFill="1" applyBorder="1" applyAlignment="1">
      <alignment horizontal="center"/>
    </xf>
    <xf numFmtId="15" fontId="7" fillId="2" borderId="12" xfId="2" applyNumberFormat="1"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0" fontId="7" fillId="2" borderId="12" xfId="2"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7" fontId="7" fillId="5" borderId="1" xfId="2" applyNumberFormat="1"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xf numFmtId="0" fontId="11" fillId="2" borderId="0" xfId="0" applyFont="1" applyFill="1" applyProtection="1">
      <protection hidden="1"/>
    </xf>
    <xf numFmtId="0" fontId="8" fillId="0" borderId="1" xfId="0" applyFont="1" applyBorder="1" applyAlignment="1" applyProtection="1">
      <alignment horizontal="center"/>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t="s">
        <v>328</v>
      </c>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HYPERLINK(B3&amp;"'Business Details'!C5","Business Details")</f>
        <v>Business Details</v>
      </c>
      <c r="C8" s="350" t="str">
        <f>HYPERLINK(B3&amp;"'SalesApr'!A4","SalesApr")</f>
        <v>SalesApr</v>
      </c>
      <c r="D8" s="350" t="str">
        <f>HYPERLINK(B3&amp;"'PurchasesApr'!A5","PurchasesApr")</f>
        <v>PurchasesApr</v>
      </c>
      <c r="E8" s="348" t="str">
        <f>HYPERLINK(B3&amp;"'SE Short'!C8","SE Short")</f>
        <v>SE Short</v>
      </c>
    </row>
    <row r="9" spans="2:8" x14ac:dyDescent="0.15">
      <c r="B9" s="348" t="str">
        <f>HYPERLINK(B3&amp;"'Fixed Assets'!B8","Fixed Assets")</f>
        <v>Fixed Assets</v>
      </c>
      <c r="C9" s="350" t="str">
        <f>HYPERLINK(B3&amp;"'SalesMay'!A4","SalesMay")</f>
        <v>SalesMay</v>
      </c>
      <c r="D9" s="350" t="str">
        <f>HYPERLINK(B3&amp;"'PurchasesMay'!A5","PurchasesMay")</f>
        <v>PurchasesMay</v>
      </c>
      <c r="E9" s="348" t="str">
        <f>HYPERLINK(B3&amp;"'Profit &amp; Loss Acc'!A1","Profit &amp; Loss Acc")</f>
        <v>Profit &amp; Loss Acc</v>
      </c>
    </row>
    <row r="10" spans="2:8" x14ac:dyDescent="0.15">
      <c r="B10" s="348" t="str">
        <f>HYPERLINK(B3&amp;"'Debtors &amp; Creditors'!C3","Debtors &amp; Creditors")</f>
        <v>Debtors &amp; Creditors</v>
      </c>
      <c r="C10" s="350" t="str">
        <f>HYPERLINK(B3&amp;"'SalesJun'!A4","SalesJun")</f>
        <v>SalesJun</v>
      </c>
      <c r="D10" s="350" t="str">
        <f>HYPERLINK(B3&amp;"'PurchasesJun'!A5","PurchasesJun")</f>
        <v>PurchasesJun</v>
      </c>
      <c r="E10" s="348" t="str">
        <f>HYPERLINK(B3&amp;"'Income Tax'!D2","Income Tax")</f>
        <v>Income Tax</v>
      </c>
    </row>
    <row r="11" spans="2:8" x14ac:dyDescent="0.15">
      <c r="B11" s="350"/>
      <c r="C11" s="350" t="str">
        <f>HYPERLINK(B3&amp;"'SalesJul'!A4","SalesJul")</f>
        <v>SalesJul</v>
      </c>
      <c r="D11" s="350" t="str">
        <f>HYPERLINK(B3&amp;"'PurchasesJul'!A5","PurchasesJul")</f>
        <v>PurchasesJul</v>
      </c>
      <c r="E11" s="348"/>
    </row>
    <row r="12" spans="2:8" x14ac:dyDescent="0.15">
      <c r="B12" s="350"/>
      <c r="C12" s="350" t="str">
        <f>HYPERLINK(B3&amp;"'SalesAug'!A4","SalesAug")</f>
        <v>SalesAug</v>
      </c>
      <c r="D12" s="350" t="str">
        <f>HYPERLINK(B3&amp;"'PurchasesAug'!A5","PurchasesAug")</f>
        <v>PurchasesAug</v>
      </c>
      <c r="E12" s="348"/>
    </row>
    <row r="13" spans="2:8" x14ac:dyDescent="0.15">
      <c r="B13" s="350"/>
      <c r="C13" s="350" t="str">
        <f>HYPERLINK(B3&amp;"'SalesSep'!A4","SalesSep")</f>
        <v>SalesSep</v>
      </c>
      <c r="D13" s="350" t="str">
        <f>HYPERLINK(B3&amp;"'PurchasesSep'!A5","PurchasesSep")</f>
        <v>PurchasesSep</v>
      </c>
      <c r="E13" s="348"/>
    </row>
    <row r="14" spans="2:8" x14ac:dyDescent="0.15">
      <c r="B14" s="350"/>
      <c r="C14" s="350" t="str">
        <f>HYPERLINK(B3&amp;"'SalesOct'!A4","SalesOct")</f>
        <v>SalesOct</v>
      </c>
      <c r="D14" s="350" t="str">
        <f>HYPERLINK(B3&amp;"'PurchasesOct'!A5","PurchasesOct")</f>
        <v>PurchasesOct</v>
      </c>
      <c r="E14" s="348"/>
    </row>
    <row r="15" spans="2:8" x14ac:dyDescent="0.15">
      <c r="B15" s="350"/>
      <c r="C15" s="350" t="str">
        <f>HYPERLINK(B3&amp;"'SalesNov'!A4","SalesNov")</f>
        <v>SalesNov</v>
      </c>
      <c r="D15" s="350" t="str">
        <f>HYPERLINK(B3&amp;"'PurchasesNov'!A5","PurchasesNov")</f>
        <v>PurchasesNov</v>
      </c>
      <c r="E15" s="348"/>
    </row>
    <row r="16" spans="2:8" x14ac:dyDescent="0.15">
      <c r="B16" s="350"/>
      <c r="C16" s="350" t="str">
        <f>HYPERLINK(B3&amp;"'SalesDec'!A4","SalesDec")</f>
        <v>SalesDec</v>
      </c>
      <c r="D16" s="350" t="str">
        <f>HYPERLINK(B3&amp;"'PurchasesDec'!A5","PurchasesDec")</f>
        <v>PurchasesDec</v>
      </c>
      <c r="E16" s="348"/>
    </row>
    <row r="17" spans="2:5" x14ac:dyDescent="0.15">
      <c r="B17" s="350"/>
      <c r="C17" s="350" t="str">
        <f>HYPERLINK(B3&amp;"'SalesJan'!A4","SalesJan")</f>
        <v>SalesJan</v>
      </c>
      <c r="D17" s="350" t="str">
        <f>HYPERLINK(B3&amp;"'PurchasesJan'!A5","PurchasesJan")</f>
        <v>PurchasesJan</v>
      </c>
      <c r="E17" s="347"/>
    </row>
    <row r="18" spans="2:5" x14ac:dyDescent="0.15">
      <c r="B18" s="350"/>
      <c r="C18" s="350" t="str">
        <f>HYPERLINK(B3&amp;"'SalesFeb'!A4","SalesFeb")</f>
        <v>SalesFeb</v>
      </c>
      <c r="D18" s="350" t="str">
        <f>HYPERLINK(B3&amp;"'PurchasesFeb'!A5","PurchasesFeb")</f>
        <v>PurchasesFeb</v>
      </c>
      <c r="E18" s="347"/>
    </row>
    <row r="19" spans="2:5" x14ac:dyDescent="0.15">
      <c r="B19" s="350"/>
      <c r="C19" s="350" t="str">
        <f>HYPERLINK(B3&amp;"'SalesMar'!A4","SalesMar")</f>
        <v>SalesMar</v>
      </c>
      <c r="D19" s="350" t="str">
        <f>HYPERLINK(B3&amp;"'PurchasesMar'!A5","PurchasesMar")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69" t="s">
        <v>192</v>
      </c>
      <c r="B1" s="370"/>
      <c r="C1" s="370"/>
      <c r="D1" s="370"/>
      <c r="E1" s="370"/>
      <c r="F1" s="370"/>
      <c r="G1" s="370"/>
      <c r="H1" s="370"/>
      <c r="I1" s="370"/>
      <c r="J1" s="370"/>
      <c r="K1" s="370"/>
      <c r="L1" s="370"/>
      <c r="M1" s="370"/>
      <c r="N1" s="370"/>
      <c r="O1" s="370"/>
      <c r="P1" s="370"/>
      <c r="Q1" s="370"/>
      <c r="R1" s="370"/>
      <c r="S1" s="370"/>
      <c r="T1" s="370"/>
      <c r="U1" s="370"/>
      <c r="V1" s="370"/>
      <c r="W1" s="371"/>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64"/>
      <c r="D5" s="365"/>
      <c r="E5" s="365"/>
      <c r="F5" s="365"/>
      <c r="G5" s="365"/>
      <c r="H5" s="365"/>
      <c r="I5" s="365"/>
      <c r="J5" s="366"/>
      <c r="K5" s="173"/>
      <c r="L5" s="173"/>
      <c r="M5" s="173"/>
      <c r="N5" s="173"/>
      <c r="O5" s="372"/>
      <c r="P5" s="373"/>
      <c r="Q5" s="173"/>
      <c r="R5" s="372"/>
      <c r="S5" s="374"/>
      <c r="T5" s="374"/>
      <c r="U5" s="373"/>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64"/>
      <c r="D8" s="365"/>
      <c r="E8" s="365"/>
      <c r="F8" s="365"/>
      <c r="G8" s="365"/>
      <c r="H8" s="365"/>
      <c r="I8" s="365"/>
      <c r="J8" s="366"/>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64"/>
      <c r="D10" s="365"/>
      <c r="E10" s="365"/>
      <c r="F10" s="365"/>
      <c r="G10" s="365"/>
      <c r="H10" s="365"/>
      <c r="I10" s="365"/>
      <c r="J10" s="366"/>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64"/>
      <c r="D12" s="365"/>
      <c r="E12" s="365"/>
      <c r="F12" s="365"/>
      <c r="G12" s="365"/>
      <c r="H12" s="365"/>
      <c r="I12" s="365"/>
      <c r="J12" s="366"/>
      <c r="K12" s="173"/>
      <c r="L12" s="177">
        <v>5</v>
      </c>
      <c r="M12" s="173"/>
      <c r="N12" s="174" t="s">
        <v>129</v>
      </c>
      <c r="O12" s="174"/>
      <c r="P12" s="174"/>
      <c r="Q12" s="174"/>
      <c r="R12" s="178"/>
      <c r="S12" s="367">
        <f>Admin!B4</f>
        <v>45388</v>
      </c>
      <c r="T12" s="368"/>
      <c r="U12" s="368"/>
      <c r="V12" s="368"/>
      <c r="W12" s="180"/>
    </row>
    <row r="13" spans="1:23" ht="11.25" customHeight="1" x14ac:dyDescent="0.15">
      <c r="A13" s="181"/>
      <c r="B13" s="173"/>
      <c r="C13" s="173"/>
      <c r="D13" s="173"/>
      <c r="E13" s="173"/>
      <c r="F13" s="173"/>
      <c r="G13" s="173"/>
      <c r="H13" s="173"/>
      <c r="I13" s="173"/>
      <c r="J13" s="173"/>
      <c r="K13" s="173"/>
      <c r="L13" s="173"/>
      <c r="M13" s="173"/>
      <c r="N13" s="375" t="s">
        <v>130</v>
      </c>
      <c r="O13" s="375"/>
      <c r="P13" s="375"/>
      <c r="Q13" s="375"/>
      <c r="R13" s="375"/>
      <c r="S13" s="375"/>
      <c r="T13" s="375"/>
      <c r="U13" s="375"/>
      <c r="V13" s="375"/>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76"/>
      <c r="O15" s="377"/>
      <c r="P15" s="377"/>
      <c r="Q15" s="378"/>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79"/>
      <c r="D17" s="380"/>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67">
        <f>Admin!B17</f>
        <v>45752</v>
      </c>
      <c r="T18" s="381"/>
      <c r="U18" s="382"/>
      <c r="V18" s="38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76"/>
      <c r="O21" s="377"/>
      <c r="P21" s="377"/>
      <c r="Q21" s="38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76">
        <f>Admin!B17</f>
        <v>45752</v>
      </c>
      <c r="O25" s="377"/>
      <c r="P25" s="377"/>
      <c r="Q25" s="38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87">
        <v>0</v>
      </c>
      <c r="E29" s="390"/>
      <c r="F29" s="391"/>
      <c r="G29" s="192" t="s">
        <v>144</v>
      </c>
      <c r="H29" s="193">
        <v>0</v>
      </c>
      <c r="I29" s="193">
        <v>0</v>
      </c>
      <c r="J29" s="173"/>
      <c r="K29" s="173"/>
      <c r="L29" s="174"/>
      <c r="M29" s="173"/>
      <c r="N29" s="191" t="s">
        <v>50</v>
      </c>
      <c r="O29" s="387">
        <v>0</v>
      </c>
      <c r="P29" s="388"/>
      <c r="Q29" s="38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83">
        <f>'SE Short'!O94</f>
        <v>0</v>
      </c>
      <c r="E34" s="384"/>
      <c r="F34" s="385"/>
      <c r="G34" s="192" t="s">
        <v>144</v>
      </c>
      <c r="H34" s="193">
        <v>0</v>
      </c>
      <c r="I34" s="193">
        <v>0</v>
      </c>
      <c r="J34" s="173"/>
      <c r="K34" s="173"/>
      <c r="L34" s="173"/>
      <c r="M34" s="173"/>
      <c r="N34" s="191" t="s">
        <v>50</v>
      </c>
      <c r="O34" s="383">
        <f>D29-D34+'SE Short'!O106</f>
        <v>0</v>
      </c>
      <c r="P34" s="384"/>
      <c r="Q34" s="38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N13:V13"/>
    <mergeCell ref="N15:Q15"/>
    <mergeCell ref="C17:D17"/>
    <mergeCell ref="S18:V18"/>
    <mergeCell ref="D34:F34"/>
    <mergeCell ref="O34:Q34"/>
    <mergeCell ref="N21:Q21"/>
    <mergeCell ref="N25:Q25"/>
    <mergeCell ref="O29:Q29"/>
    <mergeCell ref="D29:F29"/>
    <mergeCell ref="C10:J10"/>
    <mergeCell ref="C12:J12"/>
    <mergeCell ref="S12:V12"/>
    <mergeCell ref="A1:W1"/>
    <mergeCell ref="C5:J5"/>
    <mergeCell ref="O5:P5"/>
    <mergeCell ref="R5:U5"/>
    <mergeCell ref="C8:J8"/>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zoomScale="125" zoomScaleNormal="125" workbookViewId="0">
      <selection sqref="A1:F2"/>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399" t="s">
        <v>120</v>
      </c>
      <c r="B1" s="400"/>
      <c r="C1" s="400"/>
      <c r="D1" s="400"/>
      <c r="E1" s="400"/>
      <c r="F1" s="400"/>
      <c r="G1" s="401" t="s">
        <v>292</v>
      </c>
      <c r="H1" s="402"/>
      <c r="I1" s="402"/>
      <c r="J1" s="402"/>
      <c r="K1" s="402"/>
      <c r="L1" s="402"/>
      <c r="M1" s="402"/>
      <c r="N1" s="403"/>
      <c r="O1" s="404" t="s">
        <v>121</v>
      </c>
      <c r="P1" s="404"/>
      <c r="Q1" s="404"/>
      <c r="R1" s="404"/>
      <c r="S1" s="404"/>
      <c r="T1" s="404"/>
      <c r="U1" s="404"/>
      <c r="V1" s="404"/>
      <c r="W1" s="404"/>
    </row>
    <row r="2" spans="1:23" ht="30" customHeight="1" x14ac:dyDescent="0.15">
      <c r="A2" s="400"/>
      <c r="B2" s="400"/>
      <c r="C2" s="400"/>
      <c r="D2" s="400"/>
      <c r="E2" s="400"/>
      <c r="F2" s="400"/>
      <c r="G2" s="402"/>
      <c r="H2" s="402"/>
      <c r="I2" s="402"/>
      <c r="J2" s="402"/>
      <c r="K2" s="402"/>
      <c r="L2" s="402"/>
      <c r="M2" s="402"/>
      <c r="N2" s="403"/>
      <c r="O2" s="405" t="s">
        <v>122</v>
      </c>
      <c r="P2" s="405"/>
      <c r="Q2" s="406">
        <f>Admin!B4</f>
        <v>45388</v>
      </c>
      <c r="R2" s="407"/>
      <c r="S2" s="407"/>
      <c r="T2" s="407"/>
      <c r="U2" s="205" t="s">
        <v>123</v>
      </c>
      <c r="V2" s="406">
        <f>Admin!B17</f>
        <v>45752</v>
      </c>
      <c r="W2" s="406"/>
    </row>
    <row r="3" spans="1:23" ht="8.25" customHeight="1" x14ac:dyDescent="0.15">
      <c r="A3" s="408"/>
      <c r="B3" s="409"/>
      <c r="C3" s="409"/>
      <c r="D3" s="409"/>
      <c r="E3" s="409"/>
      <c r="F3" s="409"/>
      <c r="G3" s="409"/>
      <c r="H3" s="409"/>
      <c r="I3" s="409"/>
      <c r="J3" s="409"/>
      <c r="K3" s="409"/>
      <c r="L3" s="409"/>
      <c r="M3" s="409"/>
      <c r="N3" s="409"/>
      <c r="O3" s="409"/>
      <c r="P3" s="409"/>
      <c r="Q3" s="409"/>
      <c r="R3" s="409"/>
      <c r="S3" s="409"/>
      <c r="T3" s="409"/>
      <c r="U3" s="409"/>
      <c r="V3" s="409"/>
      <c r="W3" s="409"/>
    </row>
    <row r="4" spans="1:23" ht="10" customHeight="1" x14ac:dyDescent="0.15">
      <c r="A4" s="410"/>
      <c r="B4" s="410"/>
      <c r="C4" s="410"/>
      <c r="D4" s="410"/>
      <c r="E4" s="410"/>
      <c r="F4" s="410"/>
      <c r="G4" s="410"/>
      <c r="H4" s="410"/>
      <c r="I4" s="410"/>
      <c r="J4" s="410"/>
      <c r="K4" s="410"/>
      <c r="L4" s="410"/>
      <c r="M4" s="410"/>
      <c r="N4" s="410"/>
      <c r="O4" s="410"/>
      <c r="P4" s="410"/>
      <c r="Q4" s="410"/>
      <c r="R4" s="410"/>
      <c r="S4" s="410"/>
      <c r="T4" s="410"/>
      <c r="U4" s="410"/>
      <c r="V4" s="410"/>
      <c r="W4" s="411"/>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2" t="str">
        <f>IF('Business Details'!C5&gt;0,'Business Details'!C5," ")</f>
        <v xml:space="preserve"> </v>
      </c>
      <c r="D8" s="413"/>
      <c r="E8" s="413"/>
      <c r="F8" s="413"/>
      <c r="G8" s="413"/>
      <c r="H8" s="413"/>
      <c r="I8" s="413"/>
      <c r="J8" s="414"/>
      <c r="K8" s="210"/>
      <c r="L8" s="210"/>
      <c r="M8" s="210"/>
      <c r="N8" s="210"/>
      <c r="O8" s="415" t="str">
        <f>IF('Business Details'!O5&gt;0,'Business Details'!O5," ")</f>
        <v xml:space="preserve"> </v>
      </c>
      <c r="P8" s="416"/>
      <c r="Q8" s="210"/>
      <c r="R8" s="415" t="str">
        <f>IF('Business Details'!R5&gt;0,'Business Details'!R5," ")</f>
        <v xml:space="preserve"> </v>
      </c>
      <c r="S8" s="417"/>
      <c r="T8" s="417"/>
      <c r="U8" s="416"/>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26" t="s">
        <v>44</v>
      </c>
      <c r="B10" s="426"/>
      <c r="C10" s="426"/>
      <c r="D10" s="426"/>
      <c r="E10" s="426"/>
      <c r="F10" s="426"/>
      <c r="G10" s="426"/>
      <c r="H10" s="426"/>
      <c r="I10" s="426"/>
      <c r="J10" s="426"/>
      <c r="K10" s="426"/>
      <c r="L10" s="426"/>
      <c r="M10" s="426"/>
      <c r="N10" s="426"/>
      <c r="O10" s="426"/>
      <c r="P10" s="426"/>
      <c r="Q10" s="426"/>
      <c r="R10" s="426"/>
      <c r="S10" s="426"/>
      <c r="T10" s="426"/>
      <c r="U10" s="426"/>
      <c r="V10" s="426"/>
      <c r="W10" s="426"/>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2" t="str">
        <f>IF('Business Details'!C8&gt;0,'Business Details'!C8," ")</f>
        <v xml:space="preserve"> </v>
      </c>
      <c r="D13" s="413"/>
      <c r="E13" s="413"/>
      <c r="F13" s="413"/>
      <c r="G13" s="413"/>
      <c r="H13" s="413"/>
      <c r="I13" s="413"/>
      <c r="J13" s="414"/>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2" t="str">
        <f>IF('Business Details'!C10&gt;0,'Business Details'!C10," ")</f>
        <v xml:space="preserve"> </v>
      </c>
      <c r="D15" s="413"/>
      <c r="E15" s="413"/>
      <c r="F15" s="413"/>
      <c r="G15" s="413"/>
      <c r="H15" s="413"/>
      <c r="I15" s="413"/>
      <c r="J15" s="414"/>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2" t="str">
        <f>IF('Business Details'!C12&gt;0,'Business Details'!C12," ")</f>
        <v xml:space="preserve"> </v>
      </c>
      <c r="D17" s="413"/>
      <c r="E17" s="413"/>
      <c r="F17" s="413"/>
      <c r="G17" s="413"/>
      <c r="H17" s="413"/>
      <c r="I17" s="413"/>
      <c r="J17" s="414"/>
      <c r="K17" s="210"/>
      <c r="L17" s="220">
        <v>5</v>
      </c>
      <c r="M17" s="210"/>
      <c r="N17" s="211" t="s">
        <v>205</v>
      </c>
      <c r="O17" s="211"/>
      <c r="P17" s="211"/>
      <c r="Q17" s="211"/>
      <c r="R17" s="221"/>
      <c r="S17" s="424">
        <f>Admin!B4</f>
        <v>45388</v>
      </c>
      <c r="T17" s="427"/>
      <c r="U17" s="427"/>
      <c r="V17" s="427"/>
      <c r="W17" s="223"/>
    </row>
    <row r="18" spans="1:23" ht="12" customHeight="1" x14ac:dyDescent="0.15">
      <c r="A18" s="224"/>
      <c r="B18" s="210"/>
      <c r="C18" s="210"/>
      <c r="D18" s="210"/>
      <c r="E18" s="210"/>
      <c r="F18" s="210"/>
      <c r="G18" s="210"/>
      <c r="H18" s="210"/>
      <c r="I18" s="210"/>
      <c r="J18" s="210"/>
      <c r="K18" s="210"/>
      <c r="L18" s="210"/>
      <c r="M18" s="210"/>
      <c r="N18" s="418" t="s">
        <v>130</v>
      </c>
      <c r="O18" s="418"/>
      <c r="P18" s="418"/>
      <c r="Q18" s="418"/>
      <c r="R18" s="418"/>
      <c r="S18" s="418"/>
      <c r="T18" s="418"/>
      <c r="U18" s="418"/>
      <c r="V18" s="418"/>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419" t="str">
        <f>IF('Business Details'!N15&gt;0,'Business Details'!N15," ")</f>
        <v xml:space="preserve"> </v>
      </c>
      <c r="O20" s="420"/>
      <c r="P20" s="420"/>
      <c r="Q20" s="42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22" t="str">
        <f>IF('Business Details'!C17&gt;0,'Business Details'!C17," ")</f>
        <v xml:space="preserve"> </v>
      </c>
      <c r="D22" s="423"/>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24">
        <f>Admin!B4</f>
        <v>45388</v>
      </c>
      <c r="T23" s="397"/>
      <c r="U23" s="425"/>
      <c r="V23" s="425"/>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419" t="str">
        <f>IF('Business Details'!N21&gt;0,'Business Details'!N21," ")</f>
        <v xml:space="preserve"> </v>
      </c>
      <c r="O26" s="420"/>
      <c r="P26" s="420"/>
      <c r="Q26" s="42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419">
        <f>Admin!B17</f>
        <v>45752</v>
      </c>
      <c r="O31" s="420"/>
      <c r="P31" s="420"/>
      <c r="Q31" s="428"/>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429" t="str">
        <f>"Business income - if your annual turnover was below £"&amp;Admin!F26&amp;" vat threshold"</f>
        <v>Business income - if your annual turnover was below £90000 vat threshold</v>
      </c>
      <c r="B33" s="429"/>
      <c r="C33" s="429"/>
      <c r="D33" s="429"/>
      <c r="E33" s="429"/>
      <c r="F33" s="429"/>
      <c r="G33" s="429"/>
      <c r="H33" s="429"/>
      <c r="I33" s="429"/>
      <c r="J33" s="429"/>
      <c r="K33" s="429"/>
      <c r="L33" s="429"/>
      <c r="M33" s="429"/>
      <c r="N33" s="429"/>
      <c r="O33" s="429"/>
      <c r="P33" s="429"/>
      <c r="Q33" s="429"/>
      <c r="R33" s="429"/>
      <c r="S33" s="429"/>
      <c r="T33" s="429"/>
      <c r="U33" s="429"/>
      <c r="V33" s="429"/>
      <c r="W33" s="429"/>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2">
        <f>'Profit &amp; Loss Acc'!C4</f>
        <v>0</v>
      </c>
      <c r="E38" s="393"/>
      <c r="F38" s="394"/>
      <c r="G38" s="235" t="s">
        <v>144</v>
      </c>
      <c r="H38" s="236">
        <v>0</v>
      </c>
      <c r="I38" s="236">
        <v>0</v>
      </c>
      <c r="J38" s="210"/>
      <c r="K38" s="210"/>
      <c r="L38" s="210"/>
      <c r="M38" s="210"/>
      <c r="N38" s="234" t="s">
        <v>50</v>
      </c>
      <c r="O38" s="392"/>
      <c r="P38" s="393"/>
      <c r="Q38" s="394"/>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429" t="s">
        <v>145</v>
      </c>
      <c r="B40" s="429"/>
      <c r="C40" s="429"/>
      <c r="D40" s="429"/>
      <c r="E40" s="429"/>
      <c r="F40" s="429"/>
      <c r="G40" s="429"/>
      <c r="H40" s="429"/>
      <c r="I40" s="429"/>
      <c r="J40" s="429"/>
      <c r="K40" s="429"/>
      <c r="L40" s="429"/>
      <c r="M40" s="429"/>
      <c r="N40" s="429"/>
      <c r="O40" s="429"/>
      <c r="P40" s="429"/>
      <c r="Q40" s="429"/>
      <c r="R40" s="429"/>
      <c r="S40" s="429"/>
      <c r="T40" s="429"/>
      <c r="U40" s="429"/>
      <c r="V40" s="429"/>
      <c r="W40" s="429"/>
    </row>
    <row r="41" spans="1:23" s="239" customFormat="1" ht="14" customHeight="1" x14ac:dyDescent="0.15">
      <c r="A41" s="395" t="s">
        <v>146</v>
      </c>
      <c r="B41" s="395"/>
      <c r="C41" s="395"/>
      <c r="D41" s="395"/>
      <c r="E41" s="395"/>
      <c r="F41" s="395"/>
      <c r="G41" s="395"/>
      <c r="H41" s="395"/>
      <c r="I41" s="395"/>
      <c r="J41" s="395"/>
      <c r="K41" s="395"/>
      <c r="L41" s="395"/>
      <c r="M41" s="395"/>
      <c r="N41" s="395"/>
      <c r="O41" s="395"/>
      <c r="P41" s="395"/>
      <c r="Q41" s="395"/>
      <c r="R41" s="395"/>
      <c r="S41" s="395"/>
      <c r="T41" s="395"/>
      <c r="U41" s="395"/>
      <c r="V41" s="395"/>
      <c r="W41" s="395"/>
    </row>
    <row r="42" spans="1:23" s="239" customFormat="1" ht="14" customHeight="1" x14ac:dyDescent="0.15">
      <c r="A42" s="395" t="s">
        <v>147</v>
      </c>
      <c r="B42" s="395"/>
      <c r="C42" s="395"/>
      <c r="D42" s="395"/>
      <c r="E42" s="395"/>
      <c r="F42" s="395"/>
      <c r="G42" s="395"/>
      <c r="H42" s="395"/>
      <c r="I42" s="395"/>
      <c r="J42" s="395"/>
      <c r="K42" s="395"/>
      <c r="L42" s="395"/>
      <c r="M42" s="395"/>
      <c r="N42" s="395"/>
      <c r="O42" s="395"/>
      <c r="P42" s="395"/>
      <c r="Q42" s="395"/>
      <c r="R42" s="395"/>
      <c r="S42" s="395"/>
      <c r="T42" s="395"/>
      <c r="U42" s="395"/>
      <c r="V42" s="395"/>
      <c r="W42" s="395"/>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2" t="str">
        <f>IF(('Profit &amp; Loss Acc'!C4&lt;30000)," ",'Profit &amp; Loss Acc'!C6+'Profit &amp; Loss Acc'!C7)</f>
        <v xml:space="preserve"> </v>
      </c>
      <c r="E46" s="393"/>
      <c r="F46" s="394"/>
      <c r="G46" s="235" t="s">
        <v>144</v>
      </c>
      <c r="H46" s="236">
        <v>0</v>
      </c>
      <c r="I46" s="236">
        <v>0</v>
      </c>
      <c r="J46" s="210"/>
      <c r="K46" s="210"/>
      <c r="L46" s="210"/>
      <c r="M46" s="210"/>
      <c r="N46" s="234" t="s">
        <v>50</v>
      </c>
      <c r="O46" s="392" t="str">
        <f>IF(('Profit &amp; Loss Acc'!C4&lt;30000)," ",'Profit &amp; Loss Acc'!C18)</f>
        <v xml:space="preserve"> </v>
      </c>
      <c r="P46" s="393"/>
      <c r="Q46" s="394"/>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2" t="str">
        <f>IF(('Profit &amp; Loss Acc'!C4&lt;30000)," ",'Profit &amp; Loss Acc'!C15+'Profit &amp; Loss Acc'!C16)</f>
        <v xml:space="preserve"> </v>
      </c>
      <c r="E51" s="393"/>
      <c r="F51" s="394"/>
      <c r="G51" s="235" t="s">
        <v>144</v>
      </c>
      <c r="H51" s="236">
        <v>0</v>
      </c>
      <c r="I51" s="236">
        <v>0</v>
      </c>
      <c r="J51" s="210"/>
      <c r="K51" s="210"/>
      <c r="L51" s="210"/>
      <c r="M51" s="210"/>
      <c r="N51" s="234" t="s">
        <v>50</v>
      </c>
      <c r="O51" s="392" t="str">
        <f>IF(('Profit &amp; Loss Acc'!C4&lt;30000)," ",'Profit &amp; Loss Acc'!C20)</f>
        <v xml:space="preserve"> </v>
      </c>
      <c r="P51" s="393"/>
      <c r="Q51" s="394"/>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2" t="str">
        <f>IF(('Profit &amp; Loss Acc'!C4&lt;30000)," ",'Profit &amp; Loss Acc'!C11)</f>
        <v xml:space="preserve"> </v>
      </c>
      <c r="E55" s="393"/>
      <c r="F55" s="394"/>
      <c r="G55" s="235" t="s">
        <v>144</v>
      </c>
      <c r="H55" s="236">
        <v>0</v>
      </c>
      <c r="I55" s="236">
        <v>0</v>
      </c>
      <c r="J55" s="210"/>
      <c r="K55" s="210"/>
      <c r="L55" s="210"/>
      <c r="M55" s="210"/>
      <c r="N55" s="234" t="s">
        <v>50</v>
      </c>
      <c r="O55" s="392" t="str">
        <f>IF(('Profit &amp; Loss Acc'!C4&lt;30000)," ",'Profit &amp; Loss Acc'!C14)</f>
        <v xml:space="preserve"> </v>
      </c>
      <c r="P55" s="393"/>
      <c r="Q55" s="394"/>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2" t="str">
        <f>IF(('Profit &amp; Loss Acc'!C4&lt;30000)," ",'Profit &amp; Loss Acc'!C12)</f>
        <v xml:space="preserve"> </v>
      </c>
      <c r="E60" s="393"/>
      <c r="F60" s="394"/>
      <c r="G60" s="235" t="s">
        <v>144</v>
      </c>
      <c r="H60" s="236">
        <v>0</v>
      </c>
      <c r="I60" s="236">
        <v>0</v>
      </c>
      <c r="J60" s="210"/>
      <c r="K60" s="210"/>
      <c r="L60" s="210"/>
      <c r="M60" s="210"/>
      <c r="N60" s="234" t="s">
        <v>50</v>
      </c>
      <c r="O60" s="392" t="str">
        <f>IF(('Profit &amp; Loss Acc'!C4&lt;30000)," ",'Profit &amp; Loss Acc'!C17+'Profit &amp; Loss Acc'!C19+'Profit &amp; Loss Acc'!C21)</f>
        <v xml:space="preserve"> </v>
      </c>
      <c r="P60" s="393"/>
      <c r="Q60" s="394"/>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2" t="str">
        <f>IF(('Profit &amp; Loss Acc'!C4&lt;30000)," ",'Profit &amp; Loss Acc'!C13)</f>
        <v xml:space="preserve"> </v>
      </c>
      <c r="E64" s="393"/>
      <c r="F64" s="394"/>
      <c r="G64" s="235" t="s">
        <v>144</v>
      </c>
      <c r="H64" s="236">
        <v>0</v>
      </c>
      <c r="I64" s="236">
        <v>0</v>
      </c>
      <c r="J64" s="210"/>
      <c r="K64" s="210"/>
      <c r="L64" s="210"/>
      <c r="M64" s="210"/>
      <c r="N64" s="234" t="s">
        <v>50</v>
      </c>
      <c r="O64" s="392">
        <f>'Profit &amp; Loss Acc'!C6+'Profit &amp; Loss Acc'!C7+'Profit &amp; Loss Acc'!C22</f>
        <v>0</v>
      </c>
      <c r="P64" s="393"/>
      <c r="Q64" s="394"/>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430" t="s">
        <v>159</v>
      </c>
      <c r="B66" s="430"/>
      <c r="C66" s="430"/>
      <c r="D66" s="430"/>
      <c r="E66" s="430"/>
      <c r="F66" s="430"/>
      <c r="G66" s="430"/>
      <c r="H66" s="430"/>
      <c r="I66" s="430"/>
      <c r="J66" s="430"/>
      <c r="K66" s="430"/>
      <c r="L66" s="430"/>
      <c r="M66" s="430"/>
      <c r="N66" s="430"/>
      <c r="O66" s="430"/>
      <c r="P66" s="430"/>
      <c r="Q66" s="430"/>
      <c r="R66" s="430"/>
      <c r="S66" s="430"/>
      <c r="T66" s="430"/>
      <c r="U66" s="430"/>
      <c r="V66" s="430"/>
      <c r="W66" s="430"/>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2">
        <f>IF((D38+O38-O64)&gt;=0,D38+O38-O64,0)</f>
        <v>0</v>
      </c>
      <c r="E71" s="393"/>
      <c r="F71" s="394"/>
      <c r="G71" s="235" t="s">
        <v>144</v>
      </c>
      <c r="H71" s="236">
        <v>0</v>
      </c>
      <c r="I71" s="236">
        <v>0</v>
      </c>
      <c r="J71" s="210"/>
      <c r="K71" s="210"/>
      <c r="L71" s="210"/>
      <c r="M71" s="210"/>
      <c r="N71" s="234" t="s">
        <v>50</v>
      </c>
      <c r="O71" s="392">
        <f>IF((D38+O38-O64)&lt;0,-D38-O38+O64,0)</f>
        <v>0</v>
      </c>
      <c r="P71" s="393"/>
      <c r="Q71" s="394"/>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429" t="s">
        <v>164</v>
      </c>
      <c r="B73" s="429"/>
      <c r="C73" s="429"/>
      <c r="D73" s="429"/>
      <c r="E73" s="429"/>
      <c r="F73" s="429"/>
      <c r="G73" s="429"/>
      <c r="H73" s="429"/>
      <c r="I73" s="429"/>
      <c r="J73" s="429"/>
      <c r="K73" s="429"/>
      <c r="L73" s="429"/>
      <c r="M73" s="429"/>
      <c r="N73" s="429"/>
      <c r="O73" s="429"/>
      <c r="P73" s="429"/>
      <c r="Q73" s="429"/>
      <c r="R73" s="429"/>
      <c r="S73" s="429"/>
      <c r="T73" s="429"/>
      <c r="U73" s="429"/>
      <c r="V73" s="429"/>
      <c r="W73" s="429"/>
      <c r="Y73" s="242"/>
      <c r="Z73" s="242"/>
    </row>
    <row r="74" spans="1:26" ht="14" customHeight="1" x14ac:dyDescent="0.15">
      <c r="A74" s="395" t="s">
        <v>165</v>
      </c>
      <c r="B74" s="395"/>
      <c r="C74" s="395"/>
      <c r="D74" s="395"/>
      <c r="E74" s="395"/>
      <c r="F74" s="395"/>
      <c r="G74" s="395"/>
      <c r="H74" s="395"/>
      <c r="I74" s="395"/>
      <c r="J74" s="395"/>
      <c r="K74" s="395"/>
      <c r="L74" s="395"/>
      <c r="M74" s="395"/>
      <c r="N74" s="395"/>
      <c r="O74" s="395"/>
      <c r="P74" s="395"/>
      <c r="Q74" s="395"/>
      <c r="R74" s="395"/>
      <c r="S74" s="395"/>
      <c r="T74" s="395"/>
      <c r="U74" s="395"/>
      <c r="V74" s="395"/>
      <c r="W74" s="395"/>
    </row>
    <row r="75" spans="1:26" ht="14" customHeight="1" x14ac:dyDescent="0.15">
      <c r="A75" s="395" t="s">
        <v>166</v>
      </c>
      <c r="B75" s="395"/>
      <c r="C75" s="395"/>
      <c r="D75" s="395"/>
      <c r="E75" s="395"/>
      <c r="F75" s="395"/>
      <c r="G75" s="395"/>
      <c r="H75" s="395"/>
      <c r="I75" s="395"/>
      <c r="J75" s="395"/>
      <c r="K75" s="395"/>
      <c r="L75" s="395"/>
      <c r="M75" s="395"/>
      <c r="N75" s="395"/>
      <c r="O75" s="395"/>
      <c r="P75" s="395"/>
      <c r="Q75" s="395"/>
      <c r="R75" s="395"/>
      <c r="S75" s="395"/>
      <c r="T75" s="395"/>
      <c r="U75" s="395"/>
      <c r="V75" s="395"/>
      <c r="W75" s="395"/>
      <c r="Y75" s="242"/>
      <c r="Z75" s="242"/>
    </row>
    <row r="76" spans="1:26" ht="13.5" customHeight="1" x14ac:dyDescent="0.15">
      <c r="A76" s="395" t="s">
        <v>167</v>
      </c>
      <c r="B76" s="395"/>
      <c r="C76" s="395"/>
      <c r="D76" s="395"/>
      <c r="E76" s="395"/>
      <c r="F76" s="395"/>
      <c r="G76" s="395"/>
      <c r="H76" s="395"/>
      <c r="I76" s="395"/>
      <c r="J76" s="395"/>
      <c r="K76" s="395"/>
      <c r="L76" s="395"/>
      <c r="M76" s="395"/>
      <c r="N76" s="395"/>
      <c r="O76" s="395"/>
      <c r="P76" s="395"/>
      <c r="Q76" s="395"/>
      <c r="R76" s="395"/>
      <c r="S76" s="395"/>
      <c r="T76" s="395"/>
      <c r="U76" s="395"/>
      <c r="V76" s="395"/>
      <c r="W76" s="395"/>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2">
        <f>IF(('Fixed Assets'!K1)&gt;0,'Fixed Assets'!K1,0)</f>
        <v>0</v>
      </c>
      <c r="E80" s="393"/>
      <c r="F80" s="394"/>
      <c r="G80" s="235" t="s">
        <v>144</v>
      </c>
      <c r="H80" s="236">
        <v>0</v>
      </c>
      <c r="I80" s="236">
        <v>0</v>
      </c>
      <c r="J80" s="211"/>
      <c r="K80" s="211"/>
      <c r="L80" s="211"/>
      <c r="M80" s="210"/>
      <c r="N80" s="234" t="s">
        <v>50</v>
      </c>
      <c r="O80" s="392">
        <f>IF(('Fixed Assets'!L1+'Fixed Assets'!Q1)&gt;0,'Fixed Assets'!L1+'Fixed Assets'!Q1,0)</f>
        <v>0</v>
      </c>
      <c r="P80" s="393"/>
      <c r="Q80" s="394"/>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2">
        <f>IF(('Fixed Assets'!M1+'Fixed Assets'!L1)&lt;1000,'Fixed Assets'!M1,0)</f>
        <v>0</v>
      </c>
      <c r="E85" s="393"/>
      <c r="F85" s="394"/>
      <c r="G85" s="235" t="s">
        <v>144</v>
      </c>
      <c r="H85" s="236">
        <v>0</v>
      </c>
      <c r="I85" s="236">
        <v>0</v>
      </c>
      <c r="J85" s="211"/>
      <c r="K85" s="211"/>
      <c r="L85" s="210"/>
      <c r="M85" s="210"/>
      <c r="N85" s="234" t="s">
        <v>50</v>
      </c>
      <c r="O85" s="392">
        <f>IF('Fixed Assets'!R1&gt;0,'Fixed Assets'!R1,0)</f>
        <v>0</v>
      </c>
      <c r="P85" s="393"/>
      <c r="Q85" s="394"/>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431" t="s">
        <v>169</v>
      </c>
      <c r="B87" s="431"/>
      <c r="C87" s="431"/>
      <c r="D87" s="431"/>
      <c r="E87" s="431"/>
      <c r="F87" s="431"/>
      <c r="G87" s="431"/>
      <c r="H87" s="431"/>
      <c r="I87" s="431"/>
      <c r="J87" s="431"/>
      <c r="K87" s="431"/>
      <c r="L87" s="431"/>
      <c r="M87" s="431"/>
      <c r="N87" s="431"/>
      <c r="O87" s="431"/>
      <c r="P87" s="431"/>
      <c r="Q87" s="431"/>
      <c r="R87" s="431"/>
      <c r="S87" s="431"/>
      <c r="T87" s="431"/>
      <c r="U87" s="431"/>
      <c r="V87" s="431"/>
      <c r="W87" s="431"/>
    </row>
    <row r="88" spans="1:23" ht="16" customHeight="1" x14ac:dyDescent="0.15">
      <c r="A88" s="395" t="s">
        <v>170</v>
      </c>
      <c r="B88" s="395"/>
      <c r="C88" s="395"/>
      <c r="D88" s="395"/>
      <c r="E88" s="395"/>
      <c r="F88" s="395"/>
      <c r="G88" s="395"/>
      <c r="H88" s="395"/>
      <c r="I88" s="395"/>
      <c r="J88" s="395"/>
      <c r="K88" s="395"/>
      <c r="L88" s="395"/>
      <c r="M88" s="395"/>
      <c r="N88" s="395"/>
      <c r="O88" s="395"/>
      <c r="P88" s="395"/>
      <c r="Q88" s="395"/>
      <c r="R88" s="395"/>
      <c r="S88" s="395"/>
      <c r="T88" s="395"/>
      <c r="U88" s="395"/>
      <c r="V88" s="395"/>
      <c r="W88" s="395"/>
    </row>
    <row r="89" spans="1:23" ht="15.75" customHeight="1" x14ac:dyDescent="0.15">
      <c r="A89" s="395" t="s">
        <v>171</v>
      </c>
      <c r="B89" s="395"/>
      <c r="C89" s="395"/>
      <c r="D89" s="395"/>
      <c r="E89" s="395"/>
      <c r="F89" s="395"/>
      <c r="G89" s="395"/>
      <c r="H89" s="395"/>
      <c r="I89" s="395"/>
      <c r="J89" s="395"/>
      <c r="K89" s="395"/>
      <c r="L89" s="395"/>
      <c r="M89" s="395"/>
      <c r="N89" s="395"/>
      <c r="O89" s="395"/>
      <c r="P89" s="395"/>
      <c r="Q89" s="395"/>
      <c r="R89" s="395"/>
      <c r="S89" s="395"/>
      <c r="T89" s="395"/>
      <c r="U89" s="395"/>
      <c r="V89" s="395"/>
      <c r="W89" s="395"/>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2">
        <f>'Business Details'!O29</f>
        <v>0</v>
      </c>
      <c r="E94" s="393"/>
      <c r="F94" s="394"/>
      <c r="G94" s="235" t="s">
        <v>144</v>
      </c>
      <c r="H94" s="236">
        <v>0</v>
      </c>
      <c r="I94" s="236">
        <v>0</v>
      </c>
      <c r="J94" s="210"/>
      <c r="K94" s="210"/>
      <c r="L94" s="210"/>
      <c r="M94" s="210"/>
      <c r="N94" s="234" t="s">
        <v>50</v>
      </c>
      <c r="O94" s="392">
        <f>IF(O106&gt;0,0,IF('Business Details'!D29=0,0,IF(D99&gt;'Business Details'!D29,'Business Details'!D29,D99)))</f>
        <v>0</v>
      </c>
      <c r="P94" s="393"/>
      <c r="Q94" s="394"/>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2">
        <f>IF((D71+O85+D94-O71-D80-D85-O80)&gt;0,D71+O85+D94-O71-D80-D85-O80,0)</f>
        <v>0</v>
      </c>
      <c r="E99" s="393"/>
      <c r="F99" s="394"/>
      <c r="G99" s="235" t="s">
        <v>144</v>
      </c>
      <c r="H99" s="236">
        <v>0</v>
      </c>
      <c r="I99" s="236">
        <v>0</v>
      </c>
      <c r="J99" s="210"/>
      <c r="K99" s="210"/>
      <c r="L99" s="211"/>
      <c r="M99" s="210"/>
      <c r="N99" s="234" t="s">
        <v>50</v>
      </c>
      <c r="O99" s="392">
        <f>'Profit &amp; Loss Acc'!C30</f>
        <v>0</v>
      </c>
      <c r="P99" s="393"/>
      <c r="Q99" s="394"/>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429" t="s">
        <v>175</v>
      </c>
      <c r="B101" s="429"/>
      <c r="C101" s="429"/>
      <c r="D101" s="429"/>
      <c r="E101" s="429"/>
      <c r="F101" s="429"/>
      <c r="G101" s="429"/>
      <c r="H101" s="429"/>
      <c r="I101" s="429"/>
      <c r="J101" s="429"/>
      <c r="K101" s="429"/>
      <c r="L101" s="429"/>
      <c r="M101" s="429"/>
      <c r="N101" s="429"/>
      <c r="O101" s="429"/>
      <c r="P101" s="429"/>
      <c r="Q101" s="429"/>
      <c r="R101" s="429"/>
      <c r="S101" s="429"/>
      <c r="T101" s="429"/>
      <c r="U101" s="429"/>
      <c r="V101" s="429"/>
      <c r="W101" s="429"/>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2">
        <f>IF((D99+O99-O94)&gt;0,D99+O99-O94,0)</f>
        <v>0</v>
      </c>
      <c r="E106" s="393"/>
      <c r="F106" s="394"/>
      <c r="G106" s="235" t="s">
        <v>144</v>
      </c>
      <c r="H106" s="236">
        <v>0</v>
      </c>
      <c r="I106" s="236">
        <v>0</v>
      </c>
      <c r="J106" s="211"/>
      <c r="K106" s="211"/>
      <c r="L106" s="211"/>
      <c r="M106" s="210"/>
      <c r="N106" s="234" t="s">
        <v>50</v>
      </c>
      <c r="O106" s="392">
        <f>IF((O71+D80+D85+O80-D71-O85-D94)&gt;=0,O71+D80+D85+O80-D71-O85-D94,0)</f>
        <v>0</v>
      </c>
      <c r="P106" s="393"/>
      <c r="Q106" s="394"/>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431" t="s">
        <v>176</v>
      </c>
      <c r="B108" s="431"/>
      <c r="C108" s="431"/>
      <c r="D108" s="431"/>
      <c r="E108" s="431"/>
      <c r="F108" s="431"/>
      <c r="G108" s="431"/>
      <c r="H108" s="431"/>
      <c r="I108" s="431"/>
      <c r="J108" s="431"/>
      <c r="K108" s="431"/>
      <c r="L108" s="431"/>
      <c r="M108" s="431"/>
      <c r="N108" s="431"/>
      <c r="O108" s="431"/>
      <c r="P108" s="431"/>
      <c r="Q108" s="431"/>
      <c r="R108" s="431"/>
      <c r="S108" s="431"/>
      <c r="T108" s="431"/>
      <c r="U108" s="431"/>
      <c r="V108" s="431"/>
      <c r="W108" s="431"/>
    </row>
    <row r="109" spans="1:26" ht="16" customHeight="1" x14ac:dyDescent="0.15">
      <c r="A109" s="395" t="s">
        <v>177</v>
      </c>
      <c r="B109" s="395"/>
      <c r="C109" s="395"/>
      <c r="D109" s="395"/>
      <c r="E109" s="395"/>
      <c r="F109" s="395"/>
      <c r="G109" s="395"/>
      <c r="H109" s="395"/>
      <c r="I109" s="395"/>
      <c r="J109" s="395"/>
      <c r="K109" s="395"/>
      <c r="L109" s="395"/>
      <c r="M109" s="395"/>
      <c r="N109" s="395"/>
      <c r="O109" s="395"/>
      <c r="P109" s="395"/>
      <c r="Q109" s="395"/>
      <c r="R109" s="395"/>
      <c r="S109" s="395"/>
      <c r="T109" s="395"/>
      <c r="U109" s="395"/>
      <c r="V109" s="395"/>
      <c r="W109" s="395"/>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396" t="str">
        <f>Admin!G$2</f>
        <v>2024-25</v>
      </c>
      <c r="E112" s="397"/>
      <c r="F112" s="39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2"/>
      <c r="E114" s="393"/>
      <c r="F114" s="394"/>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294</v>
      </c>
      <c r="O116" s="210"/>
      <c r="P116" s="210"/>
      <c r="Q116" s="210"/>
      <c r="R116" s="398"/>
      <c r="S116" s="398"/>
      <c r="T116" s="398"/>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2"/>
      <c r="E119" s="393"/>
      <c r="F119" s="394"/>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2">
        <f>'Business Details'!O34</f>
        <v>0</v>
      </c>
      <c r="E123" s="393"/>
      <c r="F123" s="394"/>
      <c r="G123" s="235" t="s">
        <v>144</v>
      </c>
      <c r="H123" s="236">
        <v>0</v>
      </c>
      <c r="I123" s="236">
        <v>0</v>
      </c>
      <c r="J123" s="210"/>
      <c r="K123" s="210"/>
      <c r="L123" s="211"/>
      <c r="M123" s="210"/>
      <c r="N123" s="234" t="s">
        <v>50</v>
      </c>
      <c r="O123" s="392">
        <f>SalesMar!$K$1</f>
        <v>0</v>
      </c>
      <c r="P123" s="393"/>
      <c r="Q123" s="394"/>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A101:W101"/>
    <mergeCell ref="D106:F106"/>
    <mergeCell ref="O106:Q106"/>
    <mergeCell ref="A108:W108"/>
    <mergeCell ref="D85:F85"/>
    <mergeCell ref="O85:Q85"/>
    <mergeCell ref="A87:W87"/>
    <mergeCell ref="D99:F99"/>
    <mergeCell ref="O99:Q99"/>
    <mergeCell ref="A88:W88"/>
    <mergeCell ref="A89:W89"/>
    <mergeCell ref="D94:F94"/>
    <mergeCell ref="O94:Q94"/>
    <mergeCell ref="A74:W74"/>
    <mergeCell ref="A75:W75"/>
    <mergeCell ref="A76:W76"/>
    <mergeCell ref="D80:F80"/>
    <mergeCell ref="O80:Q80"/>
    <mergeCell ref="A66:W66"/>
    <mergeCell ref="D71:F71"/>
    <mergeCell ref="O71:Q71"/>
    <mergeCell ref="A73:W73"/>
    <mergeCell ref="D60:F60"/>
    <mergeCell ref="O60:Q60"/>
    <mergeCell ref="D64:F64"/>
    <mergeCell ref="O64:Q64"/>
    <mergeCell ref="D51:F51"/>
    <mergeCell ref="O51:Q51"/>
    <mergeCell ref="D55:F55"/>
    <mergeCell ref="O55:Q55"/>
    <mergeCell ref="A40:W40"/>
    <mergeCell ref="A41:W41"/>
    <mergeCell ref="A42:W42"/>
    <mergeCell ref="D46:F46"/>
    <mergeCell ref="O46:Q46"/>
    <mergeCell ref="N26:Q26"/>
    <mergeCell ref="N31:Q31"/>
    <mergeCell ref="A33:W33"/>
    <mergeCell ref="D38:F38"/>
    <mergeCell ref="O38:Q38"/>
    <mergeCell ref="N18:V18"/>
    <mergeCell ref="N20:Q20"/>
    <mergeCell ref="C22:D22"/>
    <mergeCell ref="S23:V23"/>
    <mergeCell ref="A10:W10"/>
    <mergeCell ref="C13:J13"/>
    <mergeCell ref="C15:J15"/>
    <mergeCell ref="C17:J17"/>
    <mergeCell ref="S17:V17"/>
    <mergeCell ref="A3:W3"/>
    <mergeCell ref="A4:W4"/>
    <mergeCell ref="C8:J8"/>
    <mergeCell ref="O8:P8"/>
    <mergeCell ref="R8:U8"/>
    <mergeCell ref="A1:F2"/>
    <mergeCell ref="G1:N2"/>
    <mergeCell ref="O1:W1"/>
    <mergeCell ref="O2:P2"/>
    <mergeCell ref="Q2:T2"/>
    <mergeCell ref="V2:W2"/>
    <mergeCell ref="D119:F119"/>
    <mergeCell ref="D123:F123"/>
    <mergeCell ref="O123:Q123"/>
    <mergeCell ref="A109:W109"/>
    <mergeCell ref="D112:F112"/>
    <mergeCell ref="D114:F114"/>
    <mergeCell ref="R116:T116"/>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4" t="s">
        <v>24</v>
      </c>
      <c r="B1" s="259" t="s">
        <v>23</v>
      </c>
      <c r="C1" s="260" t="s">
        <v>110</v>
      </c>
      <c r="D1" s="432">
        <f>Admin!B5</f>
        <v>45412</v>
      </c>
      <c r="E1" s="432">
        <f>Admin!B6</f>
        <v>45443</v>
      </c>
      <c r="F1" s="432">
        <f>Admin!B7</f>
        <v>45473</v>
      </c>
      <c r="G1" s="432">
        <f>Admin!B8</f>
        <v>45504</v>
      </c>
      <c r="H1" s="432">
        <f>Admin!B9</f>
        <v>45535</v>
      </c>
      <c r="I1" s="432">
        <f>Admin!B10</f>
        <v>45565</v>
      </c>
      <c r="J1" s="432">
        <f>Admin!B11</f>
        <v>45596</v>
      </c>
      <c r="K1" s="432">
        <f>Admin!B12</f>
        <v>45626</v>
      </c>
      <c r="L1" s="432">
        <f>Admin!B13</f>
        <v>45657</v>
      </c>
      <c r="M1" s="432">
        <f>Admin!B14</f>
        <v>45688</v>
      </c>
      <c r="N1" s="432">
        <f>Admin!B15</f>
        <v>45716</v>
      </c>
      <c r="O1" s="432">
        <f>Admin!B16</f>
        <v>45747</v>
      </c>
      <c r="P1" s="149"/>
      <c r="R1" s="45"/>
      <c r="S1" s="436" t="s">
        <v>295</v>
      </c>
      <c r="T1" s="436" t="s">
        <v>305</v>
      </c>
      <c r="U1" s="436" t="s">
        <v>306</v>
      </c>
      <c r="V1" s="436" t="s">
        <v>307</v>
      </c>
      <c r="W1" s="436" t="s">
        <v>308</v>
      </c>
      <c r="X1" s="436" t="s">
        <v>309</v>
      </c>
      <c r="Y1" s="436" t="s">
        <v>304</v>
      </c>
      <c r="Z1" s="45"/>
    </row>
    <row r="2" spans="1:26" ht="12" customHeight="1" x14ac:dyDescent="0.15">
      <c r="A2" s="435"/>
      <c r="B2" s="261"/>
      <c r="C2" s="262" t="str">
        <f>Admin!G2</f>
        <v>2024-25</v>
      </c>
      <c r="D2" s="433"/>
      <c r="E2" s="433"/>
      <c r="F2" s="433"/>
      <c r="G2" s="433"/>
      <c r="H2" s="433"/>
      <c r="I2" s="433"/>
      <c r="J2" s="433"/>
      <c r="K2" s="433"/>
      <c r="L2" s="433"/>
      <c r="M2" s="433"/>
      <c r="N2" s="433"/>
      <c r="O2" s="433"/>
      <c r="P2" s="45"/>
      <c r="R2" s="45"/>
      <c r="S2" s="436"/>
      <c r="T2" s="436"/>
      <c r="U2" s="436"/>
      <c r="V2" s="436"/>
      <c r="W2" s="436"/>
      <c r="X2" s="436"/>
      <c r="Y2" s="436"/>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296</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297</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298</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321</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299</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301</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302</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303</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315</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300</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310</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313</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312</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311</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314</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316</v>
      </c>
      <c r="T23" s="358">
        <v>0</v>
      </c>
      <c r="U23" s="358">
        <v>0</v>
      </c>
      <c r="V23" s="358">
        <v>0</v>
      </c>
      <c r="W23" s="358">
        <v>0</v>
      </c>
      <c r="X23" s="358">
        <f>SUM(T23:W23)</f>
        <v>0</v>
      </c>
      <c r="Y23" s="45" t="s">
        <v>320</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317</v>
      </c>
      <c r="T24" s="358">
        <v>0</v>
      </c>
      <c r="U24" s="358">
        <v>0</v>
      </c>
      <c r="V24" s="358">
        <v>0</v>
      </c>
      <c r="W24" s="358">
        <v>0</v>
      </c>
      <c r="X24" s="358">
        <f t="shared" ref="X24:X25" si="9">SUM(T24:W24)</f>
        <v>0</v>
      </c>
      <c r="Y24" s="45" t="s">
        <v>320</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318</v>
      </c>
      <c r="T25" s="358">
        <v>0</v>
      </c>
      <c r="U25" s="358">
        <v>0</v>
      </c>
      <c r="V25" s="358">
        <v>0</v>
      </c>
      <c r="W25" s="358">
        <v>0</v>
      </c>
      <c r="X25" s="358">
        <f t="shared" si="9"/>
        <v>0</v>
      </c>
      <c r="Y25" s="45" t="s">
        <v>320</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319</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322</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298</v>
      </c>
      <c r="T35" s="358">
        <v>0</v>
      </c>
      <c r="U35" s="358">
        <v>0</v>
      </c>
      <c r="V35" s="358">
        <v>0</v>
      </c>
      <c r="W35" s="358">
        <v>0</v>
      </c>
      <c r="X35" s="358">
        <f>SUM(T35:W35)</f>
        <v>0</v>
      </c>
      <c r="Y35" s="45" t="s">
        <v>320</v>
      </c>
      <c r="Z35" s="45"/>
    </row>
    <row r="36" spans="1:26" ht="14" customHeight="1" x14ac:dyDescent="0.15">
      <c r="A36" s="45"/>
      <c r="C36" s="251"/>
      <c r="D36" s="251"/>
      <c r="E36" s="251"/>
      <c r="F36" s="251"/>
      <c r="G36" s="251"/>
      <c r="H36" s="251"/>
      <c r="I36" s="251"/>
      <c r="J36" s="251"/>
      <c r="K36" s="251"/>
      <c r="L36" s="251"/>
      <c r="M36" s="251"/>
      <c r="N36" s="251"/>
      <c r="O36" s="251"/>
      <c r="P36" s="45"/>
      <c r="R36" s="45"/>
      <c r="S36" s="45" t="s">
        <v>316</v>
      </c>
      <c r="T36" s="358">
        <v>0</v>
      </c>
      <c r="U36" s="358">
        <v>0</v>
      </c>
      <c r="V36" s="358">
        <v>0</v>
      </c>
      <c r="W36" s="358">
        <v>0</v>
      </c>
      <c r="X36" s="358">
        <f t="shared" ref="X36:X49" si="11">SUM(T36:W36)</f>
        <v>0</v>
      </c>
      <c r="Y36" s="45" t="s">
        <v>320</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299</v>
      </c>
      <c r="T37" s="358">
        <v>0</v>
      </c>
      <c r="U37" s="358">
        <v>0</v>
      </c>
      <c r="V37" s="358">
        <v>0</v>
      </c>
      <c r="W37" s="358">
        <v>0</v>
      </c>
      <c r="X37" s="358">
        <f t="shared" si="11"/>
        <v>0</v>
      </c>
      <c r="Y37" s="45" t="s">
        <v>320</v>
      </c>
      <c r="Z37" s="45"/>
    </row>
    <row r="38" spans="1:26" ht="14" customHeight="1" x14ac:dyDescent="0.15">
      <c r="A38" s="45"/>
      <c r="C38" s="51"/>
      <c r="D38" s="51"/>
      <c r="E38" s="51"/>
      <c r="F38" s="51"/>
      <c r="G38" s="51"/>
      <c r="H38" s="51"/>
      <c r="I38" s="51"/>
      <c r="J38" s="51"/>
      <c r="K38" s="51"/>
      <c r="L38" s="51"/>
      <c r="M38" s="51"/>
      <c r="N38" s="51"/>
      <c r="O38" s="51"/>
      <c r="P38" s="45"/>
      <c r="R38" s="45"/>
      <c r="S38" s="45" t="s">
        <v>323</v>
      </c>
      <c r="T38" s="358">
        <v>0</v>
      </c>
      <c r="U38" s="358">
        <v>0</v>
      </c>
      <c r="V38" s="358">
        <v>0</v>
      </c>
      <c r="W38" s="358">
        <v>0</v>
      </c>
      <c r="X38" s="358">
        <f t="shared" si="11"/>
        <v>0</v>
      </c>
      <c r="Y38" s="45" t="s">
        <v>320</v>
      </c>
      <c r="Z38" s="45"/>
    </row>
    <row r="39" spans="1:26" x14ac:dyDescent="0.15">
      <c r="R39" s="45"/>
      <c r="S39" s="45" t="s">
        <v>301</v>
      </c>
      <c r="T39" s="358">
        <v>0</v>
      </c>
      <c r="U39" s="358">
        <v>0</v>
      </c>
      <c r="V39" s="358">
        <v>0</v>
      </c>
      <c r="W39" s="358">
        <v>0</v>
      </c>
      <c r="X39" s="358">
        <f t="shared" si="11"/>
        <v>0</v>
      </c>
      <c r="Y39" s="45" t="s">
        <v>320</v>
      </c>
      <c r="Z39" s="45"/>
    </row>
    <row r="40" spans="1:26" x14ac:dyDescent="0.15">
      <c r="R40" s="45"/>
      <c r="S40" s="45" t="s">
        <v>302</v>
      </c>
      <c r="T40" s="358">
        <v>0</v>
      </c>
      <c r="U40" s="358">
        <v>0</v>
      </c>
      <c r="V40" s="358">
        <v>0</v>
      </c>
      <c r="W40" s="358">
        <v>0</v>
      </c>
      <c r="X40" s="358">
        <f t="shared" si="11"/>
        <v>0</v>
      </c>
      <c r="Y40" s="45" t="s">
        <v>320</v>
      </c>
      <c r="Z40" s="45"/>
    </row>
    <row r="41" spans="1:26" x14ac:dyDescent="0.15">
      <c r="R41" s="45"/>
      <c r="S41" s="45" t="s">
        <v>303</v>
      </c>
      <c r="T41" s="358">
        <v>0</v>
      </c>
      <c r="U41" s="358">
        <v>0</v>
      </c>
      <c r="V41" s="358">
        <v>0</v>
      </c>
      <c r="W41" s="358">
        <v>0</v>
      </c>
      <c r="X41" s="358">
        <f t="shared" si="11"/>
        <v>0</v>
      </c>
      <c r="Y41" s="45" t="s">
        <v>320</v>
      </c>
      <c r="Z41" s="45"/>
    </row>
    <row r="42" spans="1:26" x14ac:dyDescent="0.15">
      <c r="R42" s="45"/>
      <c r="S42" s="45" t="s">
        <v>310</v>
      </c>
      <c r="T42" s="358">
        <v>0</v>
      </c>
      <c r="U42" s="358">
        <v>0</v>
      </c>
      <c r="V42" s="358">
        <v>0</v>
      </c>
      <c r="W42" s="358">
        <v>0</v>
      </c>
      <c r="X42" s="358">
        <f t="shared" si="11"/>
        <v>0</v>
      </c>
      <c r="Y42" s="45" t="s">
        <v>320</v>
      </c>
      <c r="Z42" s="45"/>
    </row>
    <row r="43" spans="1:26" x14ac:dyDescent="0.15">
      <c r="R43" s="45"/>
      <c r="S43" s="45" t="s">
        <v>317</v>
      </c>
      <c r="T43" s="358">
        <v>0</v>
      </c>
      <c r="U43" s="358">
        <v>0</v>
      </c>
      <c r="V43" s="358">
        <v>0</v>
      </c>
      <c r="W43" s="358">
        <v>0</v>
      </c>
      <c r="X43" s="358">
        <f t="shared" si="11"/>
        <v>0</v>
      </c>
      <c r="Y43" s="45" t="s">
        <v>320</v>
      </c>
      <c r="Z43" s="45"/>
    </row>
    <row r="44" spans="1:26" x14ac:dyDescent="0.15">
      <c r="R44" s="45"/>
      <c r="S44" s="45" t="s">
        <v>311</v>
      </c>
      <c r="T44" s="358">
        <v>0</v>
      </c>
      <c r="U44" s="358">
        <v>0</v>
      </c>
      <c r="V44" s="358">
        <v>0</v>
      </c>
      <c r="W44" s="358">
        <v>0</v>
      </c>
      <c r="X44" s="358">
        <f t="shared" si="11"/>
        <v>0</v>
      </c>
      <c r="Y44" s="45" t="s">
        <v>320</v>
      </c>
      <c r="Z44" s="45"/>
    </row>
    <row r="45" spans="1:26" x14ac:dyDescent="0.15">
      <c r="R45" s="45"/>
      <c r="S45" s="45" t="s">
        <v>324</v>
      </c>
      <c r="T45" s="358">
        <v>0</v>
      </c>
      <c r="U45" s="358">
        <v>0</v>
      </c>
      <c r="V45" s="358">
        <v>0</v>
      </c>
      <c r="W45" s="358">
        <v>0</v>
      </c>
      <c r="X45" s="358">
        <f t="shared" si="11"/>
        <v>0</v>
      </c>
      <c r="Y45" s="45" t="s">
        <v>320</v>
      </c>
      <c r="Z45" s="45"/>
    </row>
    <row r="46" spans="1:26" x14ac:dyDescent="0.15">
      <c r="R46" s="45"/>
      <c r="S46" s="45" t="s">
        <v>325</v>
      </c>
      <c r="T46" s="358">
        <v>0</v>
      </c>
      <c r="U46" s="358">
        <v>0</v>
      </c>
      <c r="V46" s="358">
        <v>0</v>
      </c>
      <c r="W46" s="358">
        <v>0</v>
      </c>
      <c r="X46" s="358">
        <f t="shared" si="11"/>
        <v>0</v>
      </c>
      <c r="Y46" s="45" t="s">
        <v>320</v>
      </c>
      <c r="Z46" s="45"/>
    </row>
    <row r="47" spans="1:26" x14ac:dyDescent="0.15">
      <c r="R47" s="45"/>
      <c r="S47" s="45" t="s">
        <v>313</v>
      </c>
      <c r="T47" s="358">
        <v>0</v>
      </c>
      <c r="U47" s="358">
        <v>0</v>
      </c>
      <c r="V47" s="358">
        <v>0</v>
      </c>
      <c r="W47" s="358">
        <v>0</v>
      </c>
      <c r="X47" s="358">
        <f t="shared" si="11"/>
        <v>0</v>
      </c>
      <c r="Y47" s="45" t="s">
        <v>320</v>
      </c>
      <c r="Z47" s="45"/>
    </row>
    <row r="48" spans="1:26" x14ac:dyDescent="0.15">
      <c r="R48" s="45"/>
      <c r="S48" s="45" t="s">
        <v>318</v>
      </c>
      <c r="T48" s="358">
        <v>0</v>
      </c>
      <c r="U48" s="358">
        <v>0</v>
      </c>
      <c r="V48" s="358">
        <v>0</v>
      </c>
      <c r="W48" s="358">
        <v>0</v>
      </c>
      <c r="X48" s="358">
        <f t="shared" si="11"/>
        <v>0</v>
      </c>
      <c r="Y48" s="45" t="s">
        <v>320</v>
      </c>
      <c r="Z48" s="45"/>
    </row>
    <row r="49" spans="18:26" x14ac:dyDescent="0.15">
      <c r="R49" s="45"/>
      <c r="S49" s="45" t="s">
        <v>314</v>
      </c>
      <c r="T49" s="358">
        <v>0</v>
      </c>
      <c r="U49" s="358">
        <v>0</v>
      </c>
      <c r="V49" s="358">
        <v>0</v>
      </c>
      <c r="W49" s="358">
        <v>0</v>
      </c>
      <c r="X49" s="358">
        <f t="shared" si="11"/>
        <v>0</v>
      </c>
      <c r="Y49" s="45" t="s">
        <v>320</v>
      </c>
      <c r="Z49" s="45"/>
    </row>
    <row r="50" spans="18:26" x14ac:dyDescent="0.15">
      <c r="R50" s="45"/>
      <c r="S50" s="45"/>
      <c r="T50" s="45"/>
      <c r="U50" s="45"/>
      <c r="V50" s="45"/>
      <c r="W50" s="45"/>
      <c r="X50" s="45"/>
      <c r="Y50" s="45"/>
      <c r="Z50" s="45"/>
    </row>
    <row r="51" spans="18:26" x14ac:dyDescent="0.15">
      <c r="R51" s="4"/>
    </row>
  </sheetData>
  <mergeCells count="20">
    <mergeCell ref="W1:W2"/>
    <mergeCell ref="X1:X2"/>
    <mergeCell ref="Y1:Y2"/>
    <mergeCell ref="S1:S2"/>
    <mergeCell ref="T1:T2"/>
    <mergeCell ref="U1:U2"/>
    <mergeCell ref="V1:V2"/>
    <mergeCell ref="A1:A2"/>
    <mergeCell ref="F1:F2"/>
    <mergeCell ref="E1:E2"/>
    <mergeCell ref="D1:D2"/>
    <mergeCell ref="G1:G2"/>
    <mergeCell ref="K1:K2"/>
    <mergeCell ref="J1:J2"/>
    <mergeCell ref="I1:I2"/>
    <mergeCell ref="H1:H2"/>
    <mergeCell ref="O1:O2"/>
    <mergeCell ref="N1:N2"/>
    <mergeCell ref="M1:M2"/>
    <mergeCell ref="L1:L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B3" sqref="B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2024-25</v>
      </c>
      <c r="D2" s="437" t="s">
        <v>29</v>
      </c>
      <c r="E2" s="438"/>
      <c r="F2" s="438"/>
      <c r="G2" s="51"/>
    </row>
    <row r="3" spans="1:11" ht="18.75" customHeight="1" x14ac:dyDescent="0.15">
      <c r="A3" s="45"/>
      <c r="B3" s="52"/>
      <c r="C3" s="52"/>
      <c r="D3" s="438"/>
      <c r="E3" s="438"/>
      <c r="F3" s="438"/>
      <c r="G3" s="51"/>
    </row>
    <row r="4" spans="1:11" x14ac:dyDescent="0.15">
      <c r="A4" s="45"/>
      <c r="B4" s="53"/>
      <c r="C4" s="53"/>
      <c r="D4" s="54"/>
      <c r="E4" s="47"/>
      <c r="F4" s="48"/>
      <c r="G4" s="51"/>
    </row>
    <row r="5" spans="1:11" x14ac:dyDescent="0.15">
      <c r="A5" s="45"/>
      <c r="B5" s="439" t="s">
        <v>80</v>
      </c>
      <c r="C5" s="440"/>
      <c r="D5" s="441"/>
      <c r="E5" s="166">
        <f>'SE Short'!D106</f>
        <v>0</v>
      </c>
      <c r="F5" s="48"/>
      <c r="G5" s="51"/>
    </row>
    <row r="6" spans="1:11" x14ac:dyDescent="0.15">
      <c r="A6" s="45"/>
      <c r="B6" s="53" t="s">
        <v>81</v>
      </c>
      <c r="C6" s="53" t="str">
        <f>C2</f>
        <v>2024-25</v>
      </c>
      <c r="D6" s="56"/>
      <c r="E6" s="51">
        <f>IF((E5&gt;0),Admin!N$4,0)</f>
        <v>0</v>
      </c>
      <c r="F6" s="48"/>
      <c r="G6" s="51"/>
    </row>
    <row r="7" spans="1:11" x14ac:dyDescent="0.15">
      <c r="A7" s="45"/>
      <c r="B7" s="442" t="s">
        <v>82</v>
      </c>
      <c r="C7" s="442"/>
      <c r="D7" s="443"/>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44">
        <f>Admin!B21</f>
        <v>46053</v>
      </c>
      <c r="D13" s="445"/>
      <c r="E13" s="47"/>
      <c r="F13" s="63"/>
      <c r="G13" s="64"/>
    </row>
    <row r="14" spans="1:11" ht="14" thickBot="1" x14ac:dyDescent="0.2">
      <c r="A14" s="45"/>
      <c r="B14" s="53"/>
      <c r="C14" s="53"/>
      <c r="D14" s="66"/>
      <c r="E14" s="67"/>
      <c r="F14" s="48"/>
      <c r="G14" s="64"/>
    </row>
    <row r="15" spans="1:11" ht="14" thickBot="1" x14ac:dyDescent="0.2">
      <c r="A15" s="45"/>
      <c r="B15" s="446" t="s">
        <v>87</v>
      </c>
      <c r="C15" s="447"/>
      <c r="D15" s="57">
        <f>Admin!L$20</f>
        <v>0.06</v>
      </c>
      <c r="E15" s="55">
        <f>IF(E5&gt;Admin!N20,IF(E5&lt;Admin!N$23,(E5-Admin!N20)*D15,(Admin!N$23-Admin!N20)*D15),0)</f>
        <v>0</v>
      </c>
      <c r="F15" s="48"/>
      <c r="G15" s="64"/>
      <c r="I15" s="351"/>
      <c r="J15" s="352"/>
      <c r="K15" s="351"/>
    </row>
    <row r="16" spans="1:11" ht="14" thickBot="1" x14ac:dyDescent="0.2">
      <c r="A16" s="45"/>
      <c r="B16" s="446" t="s">
        <v>88</v>
      </c>
      <c r="C16" s="447"/>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48" t="s">
        <v>89</v>
      </c>
      <c r="C18" s="447"/>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49" t="s">
        <v>18</v>
      </c>
      <c r="E21" s="450"/>
      <c r="F21" s="451"/>
      <c r="G21" s="45"/>
    </row>
    <row r="22" spans="1:11" ht="12.75" customHeight="1" x14ac:dyDescent="0.15">
      <c r="A22" s="45"/>
      <c r="B22" s="53"/>
      <c r="C22" s="53"/>
      <c r="D22" s="66"/>
      <c r="E22" s="67"/>
      <c r="F22" s="48"/>
      <c r="G22" s="64"/>
    </row>
    <row r="23" spans="1:11" s="7" customFormat="1" x14ac:dyDescent="0.15">
      <c r="A23" s="70"/>
      <c r="B23" s="53"/>
      <c r="C23" s="53"/>
      <c r="D23" s="452" t="s">
        <v>26</v>
      </c>
      <c r="E23" s="454" t="s">
        <v>27</v>
      </c>
      <c r="F23" s="71"/>
      <c r="G23" s="51"/>
    </row>
    <row r="24" spans="1:11" s="7" customFormat="1" x14ac:dyDescent="0.15">
      <c r="A24" s="70"/>
      <c r="B24" s="53"/>
      <c r="C24" s="53"/>
      <c r="D24" s="453"/>
      <c r="E24" s="453"/>
      <c r="F24" s="71"/>
      <c r="G24" s="51"/>
    </row>
    <row r="25" spans="1:11" x14ac:dyDescent="0.15">
      <c r="A25" s="45"/>
      <c r="B25" s="53" t="s">
        <v>90</v>
      </c>
      <c r="C25" s="72" t="str">
        <f>Admin!B24</f>
        <v>2025-26</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B18:C18"/>
    <mergeCell ref="D21:F21"/>
    <mergeCell ref="D23:D24"/>
    <mergeCell ref="E23:E24"/>
    <mergeCell ref="B15:C15"/>
    <mergeCell ref="D2:F3"/>
    <mergeCell ref="B5:D5"/>
    <mergeCell ref="B7:D7"/>
    <mergeCell ref="C13:D13"/>
    <mergeCell ref="B16:C16"/>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73"/>
      <c r="B1" s="475" t="s">
        <v>38</v>
      </c>
      <c r="C1" s="476" t="s">
        <v>93</v>
      </c>
      <c r="D1" s="477"/>
      <c r="E1" s="85">
        <f>E57+E110</f>
        <v>0</v>
      </c>
      <c r="F1" s="468"/>
      <c r="G1" s="486" t="s">
        <v>45</v>
      </c>
      <c r="H1" s="468"/>
      <c r="I1" s="86">
        <f>I57+I110</f>
        <v>0</v>
      </c>
      <c r="J1" s="481" t="s">
        <v>206</v>
      </c>
      <c r="K1" s="86">
        <f>K57+K110</f>
        <v>0</v>
      </c>
      <c r="L1" s="86">
        <f>L57+L110</f>
        <v>0</v>
      </c>
      <c r="M1" s="86">
        <f>M57+M110</f>
        <v>0</v>
      </c>
      <c r="N1" s="468"/>
      <c r="O1" s="485" t="s">
        <v>198</v>
      </c>
      <c r="P1" s="86">
        <f>P57+P110</f>
        <v>0</v>
      </c>
      <c r="Q1" s="86">
        <f>Q57+Q110</f>
        <v>0</v>
      </c>
      <c r="R1" s="86">
        <f>R57+R110</f>
        <v>0</v>
      </c>
      <c r="S1" s="87"/>
    </row>
    <row r="2" spans="1:19" ht="12" customHeight="1" x14ac:dyDescent="0.15">
      <c r="A2" s="474"/>
      <c r="B2" s="475"/>
      <c r="C2" s="478" t="s">
        <v>39</v>
      </c>
      <c r="D2" s="471" t="s">
        <v>40</v>
      </c>
      <c r="E2" s="472" t="s">
        <v>41</v>
      </c>
      <c r="F2" s="469"/>
      <c r="G2" s="487"/>
      <c r="H2" s="469"/>
      <c r="I2" s="465" t="s">
        <v>94</v>
      </c>
      <c r="J2" s="482"/>
      <c r="K2" s="465" t="s">
        <v>42</v>
      </c>
      <c r="L2" s="472" t="s">
        <v>43</v>
      </c>
      <c r="M2" s="465" t="s">
        <v>95</v>
      </c>
      <c r="N2" s="484"/>
      <c r="O2" s="475"/>
      <c r="P2" s="483" t="s">
        <v>96</v>
      </c>
      <c r="Q2" s="472" t="s">
        <v>97</v>
      </c>
      <c r="R2" s="472" t="s">
        <v>98</v>
      </c>
      <c r="S2" s="88"/>
    </row>
    <row r="3" spans="1:19" ht="12" customHeight="1" x14ac:dyDescent="0.15">
      <c r="A3" s="474"/>
      <c r="B3" s="475"/>
      <c r="C3" s="479"/>
      <c r="D3" s="471"/>
      <c r="E3" s="472"/>
      <c r="F3" s="469"/>
      <c r="G3" s="487"/>
      <c r="H3" s="469"/>
      <c r="I3" s="480"/>
      <c r="J3" s="482"/>
      <c r="K3" s="466"/>
      <c r="L3" s="472"/>
      <c r="M3" s="480"/>
      <c r="N3" s="484"/>
      <c r="O3" s="475"/>
      <c r="P3" s="472"/>
      <c r="Q3" s="472"/>
      <c r="R3" s="472"/>
      <c r="S3" s="88"/>
    </row>
    <row r="4" spans="1:19" s="92" customFormat="1" ht="12.75" customHeight="1" x14ac:dyDescent="0.15">
      <c r="A4" s="474"/>
      <c r="B4" s="475"/>
      <c r="C4" s="479"/>
      <c r="D4" s="471"/>
      <c r="E4" s="472"/>
      <c r="F4" s="470"/>
      <c r="G4" s="487"/>
      <c r="H4" s="470"/>
      <c r="I4" s="89">
        <f>Admin!B4</f>
        <v>45388</v>
      </c>
      <c r="J4" s="270">
        <f>Admin!G4</f>
        <v>1</v>
      </c>
      <c r="K4" s="467"/>
      <c r="L4" s="90">
        <f>Admin!G5</f>
        <v>0.18</v>
      </c>
      <c r="M4" s="89">
        <f>Admin!B17</f>
        <v>45752</v>
      </c>
      <c r="N4" s="484"/>
      <c r="O4" s="475"/>
      <c r="P4" s="472"/>
      <c r="Q4" s="472"/>
      <c r="R4" s="472"/>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58" t="s">
        <v>99</v>
      </c>
      <c r="C6" s="463"/>
      <c r="D6" s="103">
        <f>Admin!B$4</f>
        <v>45388</v>
      </c>
      <c r="E6" s="104"/>
      <c r="F6" s="104"/>
      <c r="G6" s="105"/>
      <c r="H6" s="104"/>
      <c r="I6" s="106"/>
      <c r="J6" s="107"/>
      <c r="K6" s="106"/>
      <c r="L6" s="106"/>
      <c r="M6" s="106"/>
      <c r="N6" s="106"/>
      <c r="O6" s="108"/>
      <c r="P6" s="109"/>
      <c r="Q6" s="106"/>
      <c r="R6" s="106"/>
      <c r="S6" s="88"/>
    </row>
    <row r="7" spans="1:19" ht="13.5" customHeight="1" x14ac:dyDescent="0.15">
      <c r="A7" s="102"/>
      <c r="B7" s="462" t="s">
        <v>65</v>
      </c>
      <c r="C7" s="462"/>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55" t="s">
        <v>111</v>
      </c>
      <c r="C11" s="456"/>
      <c r="D11" s="457"/>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62" t="s">
        <v>66</v>
      </c>
      <c r="C13" s="462"/>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55" t="s">
        <v>112</v>
      </c>
      <c r="C19" s="456"/>
      <c r="D19" s="457"/>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62" t="s">
        <v>68</v>
      </c>
      <c r="C21" s="462"/>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55" t="s">
        <v>113</v>
      </c>
      <c r="C27" s="456"/>
      <c r="D27" s="457"/>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62" t="s">
        <v>100</v>
      </c>
      <c r="C29" s="462"/>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55" t="s">
        <v>114</v>
      </c>
      <c r="C35" s="456"/>
      <c r="D35" s="457"/>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60" t="s">
        <v>101</v>
      </c>
      <c r="C37" s="464"/>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60" t="s">
        <v>102</v>
      </c>
      <c r="C43" s="464"/>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62" t="s">
        <v>103</v>
      </c>
      <c r="C49" s="462"/>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55" t="s">
        <v>115</v>
      </c>
      <c r="C55" s="456"/>
      <c r="D55" s="457"/>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58" t="str">
        <f>B6</f>
        <v xml:space="preserve">EXISTING FIXED ASSETS at </v>
      </c>
      <c r="C57" s="463"/>
      <c r="D57" s="103">
        <f>D6</f>
        <v>45388</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58" t="s">
        <v>104</v>
      </c>
      <c r="C59" s="459"/>
      <c r="D59" s="103">
        <f>Admin!B4</f>
        <v>45388</v>
      </c>
      <c r="E59" s="106"/>
      <c r="F59" s="106"/>
      <c r="G59" s="114"/>
      <c r="H59" s="106"/>
      <c r="I59" s="106"/>
      <c r="J59" s="107"/>
      <c r="K59" s="106"/>
      <c r="L59" s="106"/>
      <c r="M59" s="106"/>
      <c r="N59" s="106"/>
      <c r="O59" s="108"/>
      <c r="P59" s="109"/>
      <c r="Q59" s="106"/>
      <c r="R59" s="106"/>
      <c r="S59" s="88"/>
    </row>
    <row r="60" spans="1:19" ht="12.75" customHeight="1" x14ac:dyDescent="0.15">
      <c r="A60" s="102"/>
      <c r="B60" s="462" t="s">
        <v>65</v>
      </c>
      <c r="C60" s="462"/>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55" t="s">
        <v>105</v>
      </c>
      <c r="C64" s="456"/>
      <c r="D64" s="457"/>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62" t="s">
        <v>66</v>
      </c>
      <c r="C66" s="462"/>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55" t="s">
        <v>106</v>
      </c>
      <c r="C72" s="456"/>
      <c r="D72" s="457"/>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62" t="s">
        <v>68</v>
      </c>
      <c r="C74" s="462"/>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55" t="s">
        <v>107</v>
      </c>
      <c r="C80" s="456"/>
      <c r="D80" s="457"/>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62" t="s">
        <v>100</v>
      </c>
      <c r="C82" s="462"/>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55" t="s">
        <v>108</v>
      </c>
      <c r="C88" s="456"/>
      <c r="D88" s="457"/>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60" t="str">
        <f>B37</f>
        <v>Motor Vehicles - costing over £</v>
      </c>
      <c r="C90" s="460"/>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61" t="str">
        <f>B43</f>
        <v>Motor Vehicles - costing under £</v>
      </c>
      <c r="C96" s="461"/>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62" t="s">
        <v>103</v>
      </c>
      <c r="C102" s="462"/>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55" t="s">
        <v>109</v>
      </c>
      <c r="C108" s="456"/>
      <c r="D108" s="457"/>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58" t="str">
        <f>B59</f>
        <v xml:space="preserve">NEW FIXED ASSETS Bought AFTER </v>
      </c>
      <c r="C110" s="459"/>
      <c r="D110" s="103">
        <f>D59</f>
        <v>45388</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 ref="K2:K4"/>
    <mergeCell ref="B13:C13"/>
    <mergeCell ref="B19:D19"/>
    <mergeCell ref="B21:C21"/>
    <mergeCell ref="B27:D27"/>
    <mergeCell ref="H1:H4"/>
    <mergeCell ref="B11:D11"/>
    <mergeCell ref="D2:D4"/>
    <mergeCell ref="B6:C6"/>
    <mergeCell ref="B7:C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108:D108"/>
    <mergeCell ref="B110:C110"/>
    <mergeCell ref="B88:D88"/>
    <mergeCell ref="B90:C90"/>
    <mergeCell ref="B96:C96"/>
    <mergeCell ref="B102:C102"/>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45388</v>
      </c>
      <c r="C5" s="337"/>
      <c r="D5" s="338">
        <v>0</v>
      </c>
      <c r="E5" s="335"/>
    </row>
    <row r="6" spans="1:5" ht="13" thickBot="1" x14ac:dyDescent="0.2">
      <c r="A6" s="335"/>
      <c r="B6" s="337"/>
      <c r="C6" s="337"/>
      <c r="D6" s="336"/>
      <c r="E6" s="335"/>
    </row>
    <row r="7" spans="1:5" ht="13" thickBot="1" x14ac:dyDescent="0.2">
      <c r="A7" s="335"/>
      <c r="B7" s="341">
        <f>Admin!$B$5</f>
        <v>45412</v>
      </c>
      <c r="C7" s="337"/>
      <c r="D7" s="338">
        <f>D5</f>
        <v>0</v>
      </c>
      <c r="E7" s="335"/>
    </row>
    <row r="8" spans="1:5" ht="13" thickBot="1" x14ac:dyDescent="0.2">
      <c r="A8" s="335"/>
      <c r="B8" s="337"/>
      <c r="C8" s="337"/>
      <c r="D8" s="336"/>
      <c r="E8" s="335"/>
    </row>
    <row r="9" spans="1:5" ht="13" thickBot="1" x14ac:dyDescent="0.2">
      <c r="A9" s="335"/>
      <c r="B9" s="341">
        <f>Admin!$B$6</f>
        <v>45443</v>
      </c>
      <c r="C9" s="337"/>
      <c r="D9" s="338">
        <f>D7</f>
        <v>0</v>
      </c>
      <c r="E9" s="335"/>
    </row>
    <row r="10" spans="1:5" ht="13" thickBot="1" x14ac:dyDescent="0.2">
      <c r="A10" s="335"/>
      <c r="B10" s="337"/>
      <c r="C10" s="337"/>
      <c r="D10" s="336"/>
      <c r="E10" s="335"/>
    </row>
    <row r="11" spans="1:5" ht="13" thickBot="1" x14ac:dyDescent="0.2">
      <c r="A11" s="335"/>
      <c r="B11" s="341">
        <f>Admin!$B$7</f>
        <v>45473</v>
      </c>
      <c r="C11" s="337"/>
      <c r="D11" s="338">
        <f>D9</f>
        <v>0</v>
      </c>
      <c r="E11" s="335"/>
    </row>
    <row r="12" spans="1:5" ht="13" thickBot="1" x14ac:dyDescent="0.2">
      <c r="A12" s="335"/>
      <c r="B12" s="337"/>
      <c r="C12" s="337"/>
      <c r="D12" s="336"/>
      <c r="E12" s="335"/>
    </row>
    <row r="13" spans="1:5" ht="13" thickBot="1" x14ac:dyDescent="0.2">
      <c r="A13" s="335"/>
      <c r="B13" s="341">
        <f>Admin!$B$8</f>
        <v>45504</v>
      </c>
      <c r="C13" s="337"/>
      <c r="D13" s="338">
        <f>D11</f>
        <v>0</v>
      </c>
      <c r="E13" s="335"/>
    </row>
    <row r="14" spans="1:5" ht="13" thickBot="1" x14ac:dyDescent="0.2">
      <c r="A14" s="335"/>
      <c r="B14" s="337"/>
      <c r="C14" s="337"/>
      <c r="D14" s="336"/>
      <c r="E14" s="335"/>
    </row>
    <row r="15" spans="1:5" ht="13" thickBot="1" x14ac:dyDescent="0.2">
      <c r="A15" s="335"/>
      <c r="B15" s="341">
        <f>Admin!$B$9</f>
        <v>45535</v>
      </c>
      <c r="C15" s="337"/>
      <c r="D15" s="338">
        <f>D13</f>
        <v>0</v>
      </c>
      <c r="E15" s="335"/>
    </row>
    <row r="16" spans="1:5" ht="13" thickBot="1" x14ac:dyDescent="0.2">
      <c r="A16" s="335"/>
      <c r="B16" s="337"/>
      <c r="C16" s="337"/>
      <c r="D16" s="336"/>
      <c r="E16" s="335"/>
    </row>
    <row r="17" spans="1:5" ht="13" thickBot="1" x14ac:dyDescent="0.2">
      <c r="A17" s="335"/>
      <c r="B17" s="341">
        <f>Admin!$B$10</f>
        <v>45565</v>
      </c>
      <c r="C17" s="337"/>
      <c r="D17" s="338">
        <f>D15</f>
        <v>0</v>
      </c>
      <c r="E17" s="335"/>
    </row>
    <row r="18" spans="1:5" ht="13" thickBot="1" x14ac:dyDescent="0.2">
      <c r="A18" s="335"/>
      <c r="B18" s="337"/>
      <c r="C18" s="337"/>
      <c r="D18" s="336"/>
      <c r="E18" s="335"/>
    </row>
    <row r="19" spans="1:5" ht="13" thickBot="1" x14ac:dyDescent="0.2">
      <c r="A19" s="335"/>
      <c r="B19" s="341">
        <f>Admin!$B$11</f>
        <v>45596</v>
      </c>
      <c r="C19" s="337"/>
      <c r="D19" s="338">
        <f>D17</f>
        <v>0</v>
      </c>
      <c r="E19" s="335"/>
    </row>
    <row r="20" spans="1:5" ht="13" thickBot="1" x14ac:dyDescent="0.2">
      <c r="A20" s="335"/>
      <c r="B20" s="337"/>
      <c r="C20" s="337"/>
      <c r="D20" s="336"/>
      <c r="E20" s="335"/>
    </row>
    <row r="21" spans="1:5" ht="13" thickBot="1" x14ac:dyDescent="0.2">
      <c r="A21" s="335"/>
      <c r="B21" s="341">
        <f>Admin!$B$12</f>
        <v>45626</v>
      </c>
      <c r="C21" s="337"/>
      <c r="D21" s="338">
        <f>D19</f>
        <v>0</v>
      </c>
      <c r="E21" s="335"/>
    </row>
    <row r="22" spans="1:5" ht="13" thickBot="1" x14ac:dyDescent="0.2">
      <c r="A22" s="335"/>
      <c r="B22" s="337"/>
      <c r="C22" s="337"/>
      <c r="D22" s="336"/>
      <c r="E22" s="335"/>
    </row>
    <row r="23" spans="1:5" ht="13" thickBot="1" x14ac:dyDescent="0.2">
      <c r="A23" s="335"/>
      <c r="B23" s="341">
        <f>Admin!$B$13</f>
        <v>45657</v>
      </c>
      <c r="C23" s="337"/>
      <c r="D23" s="338">
        <f>D21</f>
        <v>0</v>
      </c>
      <c r="E23" s="335"/>
    </row>
    <row r="24" spans="1:5" ht="13" thickBot="1" x14ac:dyDescent="0.2">
      <c r="A24" s="335"/>
      <c r="B24" s="337"/>
      <c r="C24" s="337"/>
      <c r="D24" s="336"/>
      <c r="E24" s="335"/>
    </row>
    <row r="25" spans="1:5" ht="13" thickBot="1" x14ac:dyDescent="0.2">
      <c r="A25" s="335"/>
      <c r="B25" s="341">
        <f>Admin!$B$14</f>
        <v>45688</v>
      </c>
      <c r="C25" s="337"/>
      <c r="D25" s="338">
        <f>D23</f>
        <v>0</v>
      </c>
      <c r="E25" s="335"/>
    </row>
    <row r="26" spans="1:5" ht="13" thickBot="1" x14ac:dyDescent="0.2">
      <c r="A26" s="335"/>
      <c r="B26" s="337"/>
      <c r="C26" s="337"/>
      <c r="D26" s="336"/>
      <c r="E26" s="335"/>
    </row>
    <row r="27" spans="1:5" ht="13" thickBot="1" x14ac:dyDescent="0.2">
      <c r="A27" s="335"/>
      <c r="B27" s="341">
        <f>Admin!$B$15</f>
        <v>45716</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45752</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45412</v>
      </c>
      <c r="C5" s="162" t="str">
        <f>IF((SalesApr!$H$1&gt;0),SalesApr!$H$1," ")</f>
        <v xml:space="preserve"> </v>
      </c>
      <c r="D5" s="157"/>
      <c r="E5" s="161">
        <f>B5</f>
        <v>45412</v>
      </c>
      <c r="F5" s="163" t="str">
        <f>IF((PurchasesApr!$H$1&gt;0),PurchasesApr!$H$1," ")</f>
        <v xml:space="preserve"> </v>
      </c>
      <c r="G5" s="157"/>
    </row>
    <row r="6" spans="1:7" x14ac:dyDescent="0.15">
      <c r="A6" s="157"/>
      <c r="B6" s="158"/>
      <c r="C6" s="159"/>
      <c r="D6" s="157"/>
      <c r="E6" s="158"/>
      <c r="F6" s="159"/>
      <c r="G6" s="157"/>
    </row>
    <row r="7" spans="1:7" x14ac:dyDescent="0.15">
      <c r="A7" s="157"/>
      <c r="B7" s="161">
        <f>Admin!B$6</f>
        <v>45443</v>
      </c>
      <c r="C7" s="163" t="str">
        <f>IF((SalesMay!$H$1&gt;0),SalesMay!$H$1," ")</f>
        <v xml:space="preserve"> </v>
      </c>
      <c r="D7" s="157"/>
      <c r="E7" s="161">
        <f>B7</f>
        <v>45443</v>
      </c>
      <c r="F7" s="163" t="str">
        <f>IF((PurchasesMay!$H$1&gt;0),PurchasesMay!$H$1," ")</f>
        <v xml:space="preserve"> </v>
      </c>
      <c r="G7" s="157"/>
    </row>
    <row r="8" spans="1:7" x14ac:dyDescent="0.15">
      <c r="A8" s="157"/>
      <c r="B8" s="158"/>
      <c r="C8" s="159"/>
      <c r="D8" s="157"/>
      <c r="E8" s="158"/>
      <c r="F8" s="159"/>
      <c r="G8" s="157"/>
    </row>
    <row r="9" spans="1:7" x14ac:dyDescent="0.15">
      <c r="A9" s="157"/>
      <c r="B9" s="161">
        <f>Admin!B$7</f>
        <v>45473</v>
      </c>
      <c r="C9" s="163" t="str">
        <f>IF((SalesJun!$H$1&gt;0),SalesJun!$H$1," ")</f>
        <v xml:space="preserve"> </v>
      </c>
      <c r="D9" s="157"/>
      <c r="E9" s="161">
        <f>B9</f>
        <v>45473</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45504</v>
      </c>
      <c r="C11" s="163" t="str">
        <f>IF((SalesJul!$H$1&gt;0),SalesJul!$H$1," ")</f>
        <v xml:space="preserve"> </v>
      </c>
      <c r="D11" s="157"/>
      <c r="E11" s="161">
        <f>B11</f>
        <v>45504</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45535</v>
      </c>
      <c r="C13" s="163" t="str">
        <f>IF((SalesAug!$H$1&gt;0),SalesAug!$H$1," ")</f>
        <v xml:space="preserve"> </v>
      </c>
      <c r="D13" s="157"/>
      <c r="E13" s="161">
        <f>B13</f>
        <v>45535</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45565</v>
      </c>
      <c r="C15" s="163" t="str">
        <f>IF((SalesSep!$H$1&gt;0),SalesSep!$H$1," ")</f>
        <v xml:space="preserve"> </v>
      </c>
      <c r="D15" s="157"/>
      <c r="E15" s="161">
        <f>B15</f>
        <v>45565</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45596</v>
      </c>
      <c r="C17" s="163" t="str">
        <f>IF((SalesOct!$H$1&gt;0),SalesOct!$H$1," ")</f>
        <v xml:space="preserve"> </v>
      </c>
      <c r="D17" s="157"/>
      <c r="E17" s="161">
        <f>B17</f>
        <v>45596</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45626</v>
      </c>
      <c r="C19" s="163" t="str">
        <f>IF((SalesNov!$H$1&gt;0),SalesNov!$H$1," ")</f>
        <v xml:space="preserve"> </v>
      </c>
      <c r="D19" s="157"/>
      <c r="E19" s="161">
        <f>B19</f>
        <v>45626</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45657</v>
      </c>
      <c r="C21" s="163" t="str">
        <f>IF((SalesDec!$H$1&gt;0),SalesDec!$H$1," ")</f>
        <v xml:space="preserve"> </v>
      </c>
      <c r="D21" s="157"/>
      <c r="E21" s="161">
        <f>B21</f>
        <v>45657</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45688</v>
      </c>
      <c r="C23" s="163" t="str">
        <f>IF((SalesJan!$H$1&gt;0),SalesJan!$H$1," ")</f>
        <v xml:space="preserve"> </v>
      </c>
      <c r="D23" s="157"/>
      <c r="E23" s="161">
        <f>B23</f>
        <v>45688</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45716</v>
      </c>
      <c r="C25" s="163" t="str">
        <f>IF((SalesFeb!$H$1&gt;0),SalesFeb!$H$1," ")</f>
        <v xml:space="preserve"> </v>
      </c>
      <c r="D25" s="157"/>
      <c r="E25" s="161">
        <f>B25</f>
        <v>45716</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45747</v>
      </c>
      <c r="C27" s="163" t="str">
        <f>IF((SalesMar!$H$1&gt;0),SalesMar!$H$1," ")</f>
        <v xml:space="preserve"> </v>
      </c>
      <c r="D27" s="157"/>
      <c r="E27" s="161">
        <f>B27</f>
        <v>45747</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276</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15">
        <f>IF((C1&lt;Admin!$F$22),(C1*Admin!$G$21),(C1*Admin!$G$21-(C1-Admin!$F$21)*(Admin!$G$21-Admin!$G$22)))</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F2:F4"/>
    <mergeCell ref="I2:I4"/>
    <mergeCell ref="R2:R3"/>
    <mergeCell ref="S2:S3"/>
    <mergeCell ref="T2:T3"/>
    <mergeCell ref="M2:M3"/>
    <mergeCell ref="N2:N3"/>
    <mergeCell ref="G2:G3"/>
    <mergeCell ref="H2:H4"/>
    <mergeCell ref="O2:O3"/>
    <mergeCell ref="Q2:Q3"/>
    <mergeCell ref="A2:A4"/>
    <mergeCell ref="C2:C4"/>
    <mergeCell ref="B2:B4"/>
    <mergeCell ref="D2:D4"/>
    <mergeCell ref="E2:E3"/>
    <mergeCell ref="U2:U3"/>
    <mergeCell ref="J2:J3"/>
    <mergeCell ref="K2:K3"/>
    <mergeCell ref="L2:L3"/>
    <mergeCell ref="Y2:Z2"/>
    <mergeCell ref="Y3:Z3"/>
    <mergeCell ref="W2:W3"/>
    <mergeCell ref="X2:X4"/>
    <mergeCell ref="V2:V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IF((C1&lt;Admin!$F$22),((C1-PurchasesApr!C1)*Admin!$G$21),(C1*Admin!$G$21-(C1-Admin!$F$21)*(Admin!$G$21-Admin!$G$22)-PurchasesApr!A1))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G2:G3"/>
    <mergeCell ref="H2:H4"/>
    <mergeCell ref="F2:F4"/>
    <mergeCell ref="L2:L3"/>
    <mergeCell ref="W2:W3"/>
    <mergeCell ref="Q2:Q3"/>
    <mergeCell ref="R2:R3"/>
    <mergeCell ref="I2:I4"/>
    <mergeCell ref="J2:J3"/>
    <mergeCell ref="K2:K3"/>
    <mergeCell ref="M2:M3"/>
    <mergeCell ref="S2:S3"/>
    <mergeCell ref="N2:N3"/>
    <mergeCell ref="O2:O3"/>
    <mergeCell ref="A2:A4"/>
    <mergeCell ref="C2:C4"/>
    <mergeCell ref="B2:B4"/>
    <mergeCell ref="D2:D4"/>
    <mergeCell ref="E2:E3"/>
    <mergeCell ref="Y2:Z2"/>
    <mergeCell ref="Y3:Z3"/>
    <mergeCell ref="X2:X4"/>
    <mergeCell ref="T2:T3"/>
    <mergeCell ref="U2:U3"/>
    <mergeCell ref="V2:V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IF((C1&lt;Admin!$F$22),((C1-PurchasesMay!C1)*Admin!$G$21),(C1*Admin!$G$21-(C1-Admin!$F$21)*(Admin!$G$21-Admin!$G$22)-PurchasesMay!A1))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IF((C1&lt;Admin!$F$22),((C1-PurchasesJun!C1)*Admin!$G$21),(C1*Admin!$G$21-(C1-Admin!$F$21)*(Admin!$G$21-Admin!$G$22)-PurchasesJun!A1))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IF((C1&lt;Admin!$F$22),((C1-PurchasesJul!C1)*Admin!$G$21),(C1*Admin!$G$21-(C1-Admin!$F$21)*(Admin!$G$21-Admin!$G$22)-PurchasesJul!A1))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IF((C1&lt;Admin!$F$22),((C1-PurchasesAug!C1)*Admin!$G$21),(C1*Admin!$G$21-(C1-Admin!$F$21)*(Admin!$G$21-Admin!$G$22)-PurchasesAug!A1))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IF((C1&lt;Admin!$F$22),((C1-PurchasesSep!C1)*Admin!$G$21),(C1*Admin!$G$21-(C1-Admin!$F$21)*(Admin!$G$21-Admin!$G$22)-PurchasesSep!A1))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IF((C1&lt;Admin!$F$22),((C1-PurchasesOct!C1)*Admin!$G$21),(C1*Admin!$G$21-(C1-Admin!$F$21)*(Admin!$G$21-Admin!$G$22)-PurchasesOct!A1))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IF((C1&lt;Admin!$F$22),((C1-PurchasesNov!C1)*Admin!$G$21),(C1*Admin!$G$21-(C1-Admin!$F$21)*(Admin!$G$21-Admin!$G$22)-PurchasesNov!A1))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IF((C1&lt;Admin!$F$22),((C1-PurchasesDec!C1)*Admin!$G$21),(C1*Admin!$G$21-(C1-Admin!$F$21)*(Admin!$G$21-Admin!$G$22)-PurchasesDec!A1))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IF((C1&lt;Admin!$F$22),((C1-PurchasesJan!C1)*Admin!$G$21),(C1*Admin!$G$21-(C1-Admin!$F$21)*(Admin!$G$21-Admin!$G$22)-PurchasesJan!A1))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45385</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45385</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8" t="str">
        <f>IF((G1-SUM(J1:W1)&lt;&gt;0),"COMPLETE EXPENSE ANALYSIS by inserting expense letter in col E","Supplier")</f>
        <v>Supplier</v>
      </c>
      <c r="C2" s="517" t="s">
        <v>279</v>
      </c>
      <c r="D2" s="517" t="s">
        <v>278</v>
      </c>
      <c r="E2" s="519" t="s">
        <v>277</v>
      </c>
      <c r="F2" s="517" t="s">
        <v>282</v>
      </c>
      <c r="G2" s="506" t="s">
        <v>275</v>
      </c>
      <c r="H2" s="510" t="s">
        <v>274</v>
      </c>
      <c r="I2" s="520" t="s">
        <v>273</v>
      </c>
      <c r="J2" s="506" t="s">
        <v>272</v>
      </c>
      <c r="K2" s="506" t="s">
        <v>271</v>
      </c>
      <c r="L2" s="506" t="s">
        <v>270</v>
      </c>
      <c r="M2" s="506" t="s">
        <v>269</v>
      </c>
      <c r="N2" s="506" t="s">
        <v>268</v>
      </c>
      <c r="O2" s="506" t="s">
        <v>267</v>
      </c>
      <c r="P2" s="310" t="s">
        <v>266</v>
      </c>
      <c r="Q2" s="506" t="s">
        <v>265</v>
      </c>
      <c r="R2" s="506" t="s">
        <v>264</v>
      </c>
      <c r="S2" s="506" t="s">
        <v>263</v>
      </c>
      <c r="T2" s="506" t="s">
        <v>262</v>
      </c>
      <c r="U2" s="506" t="s">
        <v>261</v>
      </c>
      <c r="V2" s="506" t="s">
        <v>260</v>
      </c>
      <c r="W2" s="510" t="s">
        <v>259</v>
      </c>
      <c r="X2" s="512" t="str">
        <f>IF(X1&gt;('Fixed Assets'!$E$110),"FIXED ASSETS requires updating with new additions","Fixed Assets Description  (Vehicles: make, model, date reg. and reg. mark)")</f>
        <v>Fixed Assets Description  (Vehicles: make, model, date reg. and reg. mark)</v>
      </c>
      <c r="Y2" s="508" t="s">
        <v>258</v>
      </c>
      <c r="Z2" s="509"/>
    </row>
    <row r="3" spans="1:26" s="317" customFormat="1" ht="12" customHeight="1" x14ac:dyDescent="0.15">
      <c r="A3" s="515"/>
      <c r="B3" s="515"/>
      <c r="C3" s="515"/>
      <c r="D3" s="515"/>
      <c r="E3" s="495"/>
      <c r="F3" s="515"/>
      <c r="G3" s="495"/>
      <c r="H3" s="513"/>
      <c r="I3" s="513"/>
      <c r="J3" s="507"/>
      <c r="K3" s="507"/>
      <c r="L3" s="507"/>
      <c r="M3" s="507"/>
      <c r="N3" s="507"/>
      <c r="O3" s="507"/>
      <c r="P3" s="318">
        <f>IF((E$4="m"),G$4," ")</f>
        <v>0</v>
      </c>
      <c r="Q3" s="507"/>
      <c r="R3" s="507"/>
      <c r="S3" s="507"/>
      <c r="T3" s="507"/>
      <c r="U3" s="507"/>
      <c r="V3" s="507"/>
      <c r="W3" s="511"/>
      <c r="X3" s="513"/>
      <c r="Y3" s="508" t="s">
        <v>257</v>
      </c>
      <c r="Z3" s="509"/>
    </row>
    <row r="4" spans="1:26" s="300" customFormat="1" x14ac:dyDescent="0.15">
      <c r="A4" s="516"/>
      <c r="B4" s="516"/>
      <c r="C4" s="516"/>
      <c r="D4" s="516"/>
      <c r="E4" s="316" t="s">
        <v>256</v>
      </c>
      <c r="F4" s="516"/>
      <c r="G4" s="329">
        <f>IF((C1&lt;Admin!$F$22),((C1-PurchasesFeb!C1)*Admin!$G$21),(C1*Admin!$G$21-(C1-Admin!$F$21)*(Admin!$G$21-Admin!$G$22)-PurchasesFeb!A1))</f>
        <v>0</v>
      </c>
      <c r="H4" s="513"/>
      <c r="I4" s="513"/>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3"/>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S2:S3"/>
    <mergeCell ref="T2:T3"/>
    <mergeCell ref="U2:U3"/>
    <mergeCell ref="N2:N3"/>
    <mergeCell ref="Y2:Z2"/>
    <mergeCell ref="Y3:Z3"/>
    <mergeCell ref="V2:V3"/>
    <mergeCell ref="W2:W3"/>
    <mergeCell ref="X2:X4"/>
    <mergeCell ref="R2:R3"/>
    <mergeCell ref="O2:O3"/>
    <mergeCell ref="Q2:Q3"/>
    <mergeCell ref="A2:A4"/>
    <mergeCell ref="C2:C4"/>
    <mergeCell ref="B2:B4"/>
    <mergeCell ref="D2:D4"/>
    <mergeCell ref="E2:E3"/>
    <mergeCell ref="H2:H4"/>
    <mergeCell ref="I2:I4"/>
    <mergeCell ref="F2:F4"/>
    <mergeCell ref="L2:L3"/>
    <mergeCell ref="M2:M3"/>
    <mergeCell ref="G2:G3"/>
    <mergeCell ref="J2:J3"/>
    <mergeCell ref="K2:K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D2" sqref="D2:F2"/>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7"/>
      <c r="E1" s="527"/>
      <c r="F1" s="527"/>
      <c r="G1" s="25"/>
      <c r="H1" s="23"/>
      <c r="I1" s="23"/>
      <c r="J1" s="23"/>
      <c r="K1" s="23"/>
      <c r="L1" s="23"/>
      <c r="M1" s="23"/>
      <c r="N1" s="23"/>
      <c r="O1" s="23"/>
    </row>
    <row r="2" spans="1:15" ht="12" customHeight="1" x14ac:dyDescent="0.15">
      <c r="A2" s="23"/>
      <c r="B2" s="27">
        <v>45350</v>
      </c>
      <c r="C2" s="23"/>
      <c r="D2" s="521" t="s">
        <v>47</v>
      </c>
      <c r="E2" s="521"/>
      <c r="F2" s="521"/>
      <c r="G2" s="269" t="str">
        <f>B23</f>
        <v>2024-25</v>
      </c>
      <c r="H2" s="23"/>
      <c r="I2" s="23"/>
      <c r="J2" s="528" t="s">
        <v>48</v>
      </c>
      <c r="K2" s="528"/>
      <c r="L2" s="28" t="str">
        <f>G2</f>
        <v>2024-25</v>
      </c>
      <c r="M2" s="23"/>
      <c r="N2" s="23"/>
      <c r="O2" s="23"/>
    </row>
    <row r="3" spans="1:15" ht="12" customHeight="1" thickBot="1" x14ac:dyDescent="0.2">
      <c r="A3" s="23"/>
      <c r="B3" s="27">
        <v>45382</v>
      </c>
      <c r="C3" s="23"/>
      <c r="D3" s="23"/>
      <c r="E3" s="23"/>
      <c r="F3" s="23"/>
      <c r="G3" s="29"/>
      <c r="H3" s="23"/>
      <c r="I3" s="23"/>
      <c r="J3" s="30"/>
      <c r="K3" s="30"/>
      <c r="L3" s="25"/>
      <c r="M3" s="23"/>
      <c r="N3" s="23"/>
      <c r="O3" s="23"/>
    </row>
    <row r="4" spans="1:15" ht="12" customHeight="1" thickBot="1" x14ac:dyDescent="0.2">
      <c r="A4" s="23"/>
      <c r="B4" s="31">
        <v>45388</v>
      </c>
      <c r="C4" s="23"/>
      <c r="D4" s="524" t="s">
        <v>199</v>
      </c>
      <c r="E4" s="524"/>
      <c r="F4" s="524"/>
      <c r="G4" s="32">
        <v>1</v>
      </c>
      <c r="H4" s="23"/>
      <c r="I4" s="524" t="s">
        <v>49</v>
      </c>
      <c r="J4" s="524"/>
      <c r="K4" s="524"/>
      <c r="L4" s="524"/>
      <c r="M4" s="524"/>
      <c r="N4" s="33">
        <v>12570</v>
      </c>
      <c r="O4" s="29" t="s">
        <v>50</v>
      </c>
    </row>
    <row r="5" spans="1:15" ht="12" customHeight="1" x14ac:dyDescent="0.15">
      <c r="A5" s="23"/>
      <c r="B5" s="27">
        <v>45412</v>
      </c>
      <c r="C5" s="23"/>
      <c r="D5" s="524" t="s">
        <v>51</v>
      </c>
      <c r="E5" s="524"/>
      <c r="F5" s="524"/>
      <c r="G5" s="32">
        <v>0.18</v>
      </c>
      <c r="H5" s="23"/>
      <c r="I5" s="23"/>
      <c r="J5" s="23"/>
      <c r="K5" s="23"/>
      <c r="L5" s="23"/>
      <c r="M5" s="23"/>
      <c r="N5" s="29"/>
      <c r="O5" s="29"/>
    </row>
    <row r="6" spans="1:15" ht="12" customHeight="1" x14ac:dyDescent="0.15">
      <c r="A6" s="23"/>
      <c r="B6" s="27">
        <v>45443</v>
      </c>
      <c r="C6" s="23"/>
      <c r="D6" s="23"/>
      <c r="E6" s="23"/>
      <c r="F6" s="23"/>
      <c r="G6" s="29"/>
      <c r="H6" s="23"/>
      <c r="I6" s="23" t="s">
        <v>119</v>
      </c>
      <c r="J6" s="23"/>
      <c r="K6" s="23"/>
      <c r="L6" s="23"/>
      <c r="M6" s="23"/>
      <c r="N6" s="32">
        <v>0</v>
      </c>
      <c r="O6" s="29" t="s">
        <v>53</v>
      </c>
    </row>
    <row r="7" spans="1:15" ht="12" customHeight="1" x14ac:dyDescent="0.15">
      <c r="A7" s="23"/>
      <c r="B7" s="27">
        <v>45473</v>
      </c>
      <c r="C7" s="23"/>
      <c r="D7" s="524" t="s">
        <v>54</v>
      </c>
      <c r="E7" s="524"/>
      <c r="F7" s="524"/>
      <c r="G7" s="29"/>
      <c r="H7" s="23"/>
      <c r="I7" s="524" t="s">
        <v>52</v>
      </c>
      <c r="J7" s="524"/>
      <c r="K7" s="524"/>
      <c r="L7" s="524"/>
      <c r="M7" s="524"/>
      <c r="N7" s="32">
        <v>0.2</v>
      </c>
      <c r="O7" s="29" t="s">
        <v>53</v>
      </c>
    </row>
    <row r="8" spans="1:15" ht="12" customHeight="1" x14ac:dyDescent="0.15">
      <c r="A8" s="23"/>
      <c r="B8" s="27">
        <v>45504</v>
      </c>
      <c r="C8" s="23"/>
      <c r="D8" s="23" t="s">
        <v>56</v>
      </c>
      <c r="E8" s="34">
        <v>12000</v>
      </c>
      <c r="F8" s="23" t="s">
        <v>57</v>
      </c>
      <c r="G8" s="34">
        <v>3000</v>
      </c>
      <c r="H8" s="23"/>
      <c r="I8" s="524" t="s">
        <v>55</v>
      </c>
      <c r="J8" s="524"/>
      <c r="K8" s="524"/>
      <c r="L8" s="524"/>
      <c r="M8" s="524"/>
      <c r="N8" s="32">
        <v>0.4</v>
      </c>
      <c r="O8" s="29" t="s">
        <v>53</v>
      </c>
    </row>
    <row r="9" spans="1:15" ht="12" customHeight="1" x14ac:dyDescent="0.15">
      <c r="A9" s="23"/>
      <c r="B9" s="27">
        <v>45535</v>
      </c>
      <c r="C9" s="23"/>
      <c r="D9" s="23"/>
      <c r="E9" s="29"/>
      <c r="F9" s="23"/>
      <c r="G9" s="29"/>
      <c r="H9" s="23"/>
      <c r="I9" s="23"/>
      <c r="J9" s="23"/>
      <c r="K9" s="23"/>
      <c r="L9" s="23"/>
      <c r="M9" s="23"/>
      <c r="N9" s="29"/>
      <c r="O9" s="29"/>
    </row>
    <row r="10" spans="1:15" ht="12" customHeight="1" x14ac:dyDescent="0.15">
      <c r="A10" s="23"/>
      <c r="B10" s="27">
        <v>45565</v>
      </c>
      <c r="C10" s="23"/>
      <c r="D10" s="23"/>
      <c r="E10" s="29"/>
      <c r="F10" s="23"/>
      <c r="G10" s="29"/>
      <c r="H10" s="23"/>
      <c r="I10" s="524" t="s">
        <v>58</v>
      </c>
      <c r="J10" s="526"/>
      <c r="K10" s="526"/>
      <c r="L10" s="35" t="s">
        <v>59</v>
      </c>
      <c r="M10" s="35" t="s">
        <v>60</v>
      </c>
      <c r="N10" s="36" t="s">
        <v>61</v>
      </c>
      <c r="O10" s="29"/>
    </row>
    <row r="11" spans="1:15" ht="12" customHeight="1" x14ac:dyDescent="0.15">
      <c r="A11" s="23"/>
      <c r="B11" s="27">
        <v>45596</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45626</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45657</v>
      </c>
      <c r="C13" s="23"/>
      <c r="D13" s="524" t="s">
        <v>65</v>
      </c>
      <c r="E13" s="524"/>
      <c r="F13" s="524"/>
      <c r="G13" s="32">
        <v>0</v>
      </c>
      <c r="H13" s="23"/>
      <c r="I13" s="23" t="s">
        <v>64</v>
      </c>
      <c r="J13" s="23"/>
      <c r="K13" s="37">
        <f t="shared" si="0"/>
        <v>0.4</v>
      </c>
      <c r="L13" s="29">
        <v>37701</v>
      </c>
      <c r="M13" s="23"/>
      <c r="N13" s="34">
        <v>37701</v>
      </c>
      <c r="O13" s="29"/>
    </row>
    <row r="14" spans="1:15" ht="12" customHeight="1" x14ac:dyDescent="0.15">
      <c r="A14" s="23"/>
      <c r="B14" s="27">
        <v>45688</v>
      </c>
      <c r="C14" s="23"/>
      <c r="D14" s="524" t="s">
        <v>66</v>
      </c>
      <c r="E14" s="524"/>
      <c r="F14" s="524"/>
      <c r="G14" s="32">
        <v>0.1</v>
      </c>
      <c r="H14" s="23"/>
      <c r="I14" s="23"/>
      <c r="J14" s="23"/>
      <c r="K14" s="23"/>
      <c r="L14" s="23"/>
      <c r="M14" s="23"/>
      <c r="N14" s="23"/>
      <c r="O14" s="23"/>
    </row>
    <row r="15" spans="1:15" ht="12" customHeight="1" x14ac:dyDescent="0.15">
      <c r="A15" s="23"/>
      <c r="B15" s="27">
        <v>45716</v>
      </c>
      <c r="C15" s="23"/>
      <c r="D15" s="524" t="s">
        <v>68</v>
      </c>
      <c r="E15" s="524"/>
      <c r="F15" s="524"/>
      <c r="G15" s="32">
        <v>0.2</v>
      </c>
      <c r="H15" s="23"/>
      <c r="I15" s="525" t="s">
        <v>67</v>
      </c>
      <c r="J15" s="525"/>
      <c r="K15" s="525"/>
      <c r="L15" s="38" t="str">
        <f>G2</f>
        <v>2024-25</v>
      </c>
      <c r="M15" s="23"/>
      <c r="N15" s="23"/>
      <c r="O15" s="23"/>
    </row>
    <row r="16" spans="1:15" ht="12" customHeight="1" thickBot="1" x14ac:dyDescent="0.2">
      <c r="A16" s="23"/>
      <c r="B16" s="27">
        <v>45747</v>
      </c>
      <c r="C16" s="23"/>
      <c r="D16" s="524" t="s">
        <v>69</v>
      </c>
      <c r="E16" s="524"/>
      <c r="F16" s="524"/>
      <c r="G16" s="32">
        <v>0.33</v>
      </c>
      <c r="H16" s="23"/>
      <c r="I16" s="23"/>
      <c r="J16" s="23"/>
      <c r="K16" s="23"/>
      <c r="L16" s="23"/>
      <c r="M16" s="23"/>
      <c r="N16" s="23"/>
      <c r="O16" s="23"/>
    </row>
    <row r="17" spans="1:15" ht="12" customHeight="1" thickBot="1" x14ac:dyDescent="0.2">
      <c r="A17" s="23"/>
      <c r="B17" s="31">
        <v>45752</v>
      </c>
      <c r="C17" s="23"/>
      <c r="D17" s="524" t="s">
        <v>71</v>
      </c>
      <c r="E17" s="524"/>
      <c r="F17" s="524"/>
      <c r="G17" s="32">
        <v>0.25</v>
      </c>
      <c r="H17" s="23"/>
      <c r="I17" s="524" t="s">
        <v>70</v>
      </c>
      <c r="J17" s="524"/>
      <c r="K17" s="524"/>
      <c r="L17" s="39">
        <v>0</v>
      </c>
      <c r="M17" s="23" t="s">
        <v>327</v>
      </c>
      <c r="N17" s="23"/>
      <c r="O17" s="23"/>
    </row>
    <row r="18" spans="1:15" ht="12" customHeight="1" x14ac:dyDescent="0.15">
      <c r="A18" s="23"/>
      <c r="B18" s="27">
        <v>45777</v>
      </c>
      <c r="C18" s="23"/>
      <c r="D18" s="23"/>
      <c r="E18" s="23"/>
      <c r="F18" s="23"/>
      <c r="G18" s="29"/>
      <c r="H18" s="23"/>
      <c r="I18" s="23"/>
      <c r="J18" s="23"/>
      <c r="K18" s="23"/>
      <c r="L18" s="23"/>
      <c r="M18" s="23"/>
      <c r="N18" s="23"/>
      <c r="O18" s="23"/>
    </row>
    <row r="19" spans="1:15" ht="12" customHeight="1" x14ac:dyDescent="0.15">
      <c r="A19" s="23"/>
      <c r="B19" s="27">
        <v>45808</v>
      </c>
      <c r="C19" s="23"/>
      <c r="D19" s="521" t="s">
        <v>73</v>
      </c>
      <c r="E19" s="521"/>
      <c r="F19" s="29" t="s">
        <v>74</v>
      </c>
      <c r="G19" s="29" t="s">
        <v>75</v>
      </c>
      <c r="H19" s="23"/>
      <c r="I19" s="523" t="s">
        <v>72</v>
      </c>
      <c r="J19" s="523"/>
      <c r="K19" s="523"/>
      <c r="L19" s="23"/>
      <c r="M19" s="522" t="s">
        <v>221</v>
      </c>
      <c r="N19" s="23"/>
      <c r="O19" s="23"/>
    </row>
    <row r="20" spans="1:15" ht="12" customHeight="1" x14ac:dyDescent="0.15">
      <c r="A20" s="23"/>
      <c r="B20" s="27">
        <v>45838</v>
      </c>
      <c r="C20" s="23"/>
      <c r="D20" s="25"/>
      <c r="E20" s="25"/>
      <c r="F20" s="29"/>
      <c r="G20" s="29"/>
      <c r="H20" s="23"/>
      <c r="I20" s="523"/>
      <c r="J20" s="523"/>
      <c r="K20" s="523"/>
      <c r="L20" s="355">
        <v>0.06</v>
      </c>
      <c r="M20" s="522"/>
      <c r="N20" s="34">
        <v>12570</v>
      </c>
      <c r="O20" s="29" t="s">
        <v>50</v>
      </c>
    </row>
    <row r="21" spans="1:15" ht="12" customHeight="1" x14ac:dyDescent="0.15">
      <c r="A21" s="23"/>
      <c r="B21" s="27">
        <v>46053</v>
      </c>
      <c r="C21" s="23"/>
      <c r="D21" s="524" t="s">
        <v>76</v>
      </c>
      <c r="E21" s="524"/>
      <c r="F21" s="34">
        <v>10000</v>
      </c>
      <c r="G21" s="39">
        <v>0.45</v>
      </c>
      <c r="H21" s="23"/>
      <c r="I21" s="40"/>
      <c r="J21" s="40"/>
      <c r="K21" s="40"/>
      <c r="L21" s="37"/>
      <c r="M21" s="23"/>
      <c r="N21" s="23"/>
      <c r="O21" s="23"/>
    </row>
    <row r="22" spans="1:15" ht="12" customHeight="1" thickBot="1" x14ac:dyDescent="0.2">
      <c r="A22" s="23"/>
      <c r="B22" s="27">
        <v>46234</v>
      </c>
      <c r="C22" s="23"/>
      <c r="D22" s="23" t="s">
        <v>78</v>
      </c>
      <c r="E22" s="23"/>
      <c r="F22" s="34">
        <v>10001</v>
      </c>
      <c r="G22" s="39">
        <v>0.25</v>
      </c>
      <c r="H22" s="23"/>
      <c r="I22" s="523" t="s">
        <v>77</v>
      </c>
      <c r="J22" s="523"/>
      <c r="K22" s="523"/>
      <c r="L22" s="23"/>
      <c r="M22" s="522" t="s">
        <v>222</v>
      </c>
      <c r="N22" s="23"/>
      <c r="O22" s="23"/>
    </row>
    <row r="23" spans="1:15" ht="12" customHeight="1" thickBot="1" x14ac:dyDescent="0.2">
      <c r="A23" s="23"/>
      <c r="B23" s="31" t="s">
        <v>293</v>
      </c>
      <c r="C23" s="23"/>
      <c r="D23" s="23"/>
      <c r="E23" s="23"/>
      <c r="F23" s="29"/>
      <c r="G23" s="41"/>
      <c r="H23" s="23"/>
      <c r="I23" s="523"/>
      <c r="J23" s="523"/>
      <c r="K23" s="523"/>
      <c r="L23" s="355">
        <v>0.02</v>
      </c>
      <c r="M23" s="522"/>
      <c r="N23" s="34">
        <v>50270</v>
      </c>
      <c r="O23" s="29" t="s">
        <v>50</v>
      </c>
    </row>
    <row r="24" spans="1:15" ht="12" customHeight="1" thickBot="1" x14ac:dyDescent="0.2">
      <c r="A24" s="23"/>
      <c r="B24" s="31" t="s">
        <v>326</v>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11:F11"/>
    <mergeCell ref="D13:F13"/>
    <mergeCell ref="D14:F14"/>
    <mergeCell ref="D15:F15"/>
    <mergeCell ref="D5:F5"/>
    <mergeCell ref="I7:M7"/>
    <mergeCell ref="D7:F7"/>
    <mergeCell ref="I8:M8"/>
    <mergeCell ref="I10:K10"/>
    <mergeCell ref="D1:F1"/>
    <mergeCell ref="D2:F2"/>
    <mergeCell ref="J2:K2"/>
    <mergeCell ref="D4:F4"/>
    <mergeCell ref="I4:M4"/>
    <mergeCell ref="D16:F16"/>
    <mergeCell ref="I17:K17"/>
    <mergeCell ref="D17:F17"/>
    <mergeCell ref="I15:K15"/>
    <mergeCell ref="M19:M20"/>
    <mergeCell ref="D24:E24"/>
    <mergeCell ref="M22:M23"/>
    <mergeCell ref="I19:K20"/>
    <mergeCell ref="D19:E19"/>
    <mergeCell ref="D21:E21"/>
    <mergeCell ref="I22:K23"/>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DIY Accounting Customer Service</cp:lastModifiedBy>
  <cp:lastPrinted>2011-03-20T17:47:30Z</cp:lastPrinted>
  <dcterms:created xsi:type="dcterms:W3CDTF">2002-12-30T15:31:19Z</dcterms:created>
  <dcterms:modified xsi:type="dcterms:W3CDTF">2024-04-02T22:59:03Z</dcterms:modified>
</cp:coreProperties>
</file>